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다이어리 사용 목적" sheetId="1" r:id="rId5"/>
    <sheet state="visible" name="2달차" sheetId="2" r:id="rId6"/>
    <sheet state="visible" name="1달차" sheetId="3" r:id="rId7"/>
    <sheet state="visible" name="복사용의 사본" sheetId="4" r:id="rId8"/>
  </sheets>
  <definedNames/>
  <calcPr/>
</workbook>
</file>

<file path=xl/sharedStrings.xml><?xml version="1.0" encoding="utf-8"?>
<sst xmlns="http://schemas.openxmlformats.org/spreadsheetml/2006/main" count="3933" uniqueCount="252">
  <si>
    <t>라이프리프터 웹 개발용 초안 문서. 2020.09</t>
  </si>
  <si>
    <t>사용자 이름</t>
  </si>
  <si>
    <t>송영록</t>
  </si>
  <si>
    <t>코치 이름</t>
  </si>
  <si>
    <t>김태형</t>
  </si>
  <si>
    <t>사용 목적</t>
  </si>
  <si>
    <t>취업 준비를 위한 공부</t>
  </si>
  <si>
    <t>투자 시간 종류</t>
  </si>
  <si>
    <t>코테준비</t>
  </si>
  <si>
    <t>CS</t>
  </si>
  <si>
    <t>학교공부</t>
  </si>
  <si>
    <t>그 외 개인공부</t>
  </si>
  <si>
    <t>코칭 주기 및 방법</t>
  </si>
  <si>
    <t>1주 1회 오프라인</t>
  </si>
  <si>
    <t>작성 주차   1주차</t>
  </si>
  <si>
    <t>1일차  9월  17일</t>
  </si>
  <si>
    <t>팔레트</t>
  </si>
  <si>
    <t>2일차  9월  18일</t>
  </si>
  <si>
    <t>3일차  9월  19일</t>
  </si>
  <si>
    <t>4일차  9월  20일</t>
  </si>
  <si>
    <t>소비시간 별 한 줄 일기</t>
  </si>
  <si>
    <t>00</t>
  </si>
  <si>
    <t>10</t>
  </si>
  <si>
    <t>20</t>
  </si>
  <si>
    <t>30</t>
  </si>
  <si>
    <t>40</t>
  </si>
  <si>
    <t>50</t>
  </si>
  <si>
    <t>60</t>
  </si>
  <si>
    <t>수면 (제일 아래칸에 시간 숫자로 쓰기)</t>
  </si>
  <si>
    <t>잠을 거의 못잠. 왜? 추석기차 예매 때문에</t>
  </si>
  <si>
    <t>01</t>
  </si>
  <si>
    <t xml:space="preserve"> </t>
  </si>
  <si>
    <t>전날 못잔거 기절해서 잤다</t>
  </si>
  <si>
    <t>02</t>
  </si>
  <si>
    <t>03</t>
  </si>
  <si>
    <t>기초 생활 (제일 아래칸에 시간 숫자로 쓰기)</t>
  </si>
  <si>
    <t>04</t>
  </si>
  <si>
    <t>씻고 빨래정리</t>
  </si>
  <si>
    <t>05</t>
  </si>
  <si>
    <t>이동 및 식사</t>
  </si>
  <si>
    <t>식사시간 및 이동</t>
  </si>
  <si>
    <t>새치염색 망할꺼</t>
  </si>
  <si>
    <t>06</t>
  </si>
  <si>
    <t>07</t>
  </si>
  <si>
    <t>수동적 소비 (제일 아래칸에 시간 숫자로 쓰기)</t>
  </si>
  <si>
    <t>08</t>
  </si>
  <si>
    <t>웹툰에 소비, 무협웹툰 찾아봄</t>
  </si>
  <si>
    <t>09</t>
  </si>
  <si>
    <t>빈둥.. 그냥 누워있었음 + 웹툰</t>
  </si>
  <si>
    <t>점심에 뭐먹을지 고민하면서 누워있다가 시간이 사라짐/ 아버지 엑셀 안되서 2시간가량 영통으로 고군분투</t>
  </si>
  <si>
    <t>11</t>
  </si>
  <si>
    <t>주도적 사용 (제일 아래칸에 시간 숫자로 쓰기)</t>
  </si>
  <si>
    <t>12</t>
  </si>
  <si>
    <t>7-10시30분: 기차예매 대기(서버터짐 무한 새로고침)</t>
  </si>
  <si>
    <t>13</t>
  </si>
  <si>
    <t>집안일 + 귀칼 정주행 시작</t>
  </si>
  <si>
    <t>새벽에 귀멸의칼날 애니 정주행시작, 취침후 운동 2시간 + 집안일</t>
  </si>
  <si>
    <t>12시10분-4시30분: 복싱장, 개인운동 끝나고 스파링 후 코칭 한다고 시간이 많이 소비됨</t>
  </si>
  <si>
    <t>14</t>
  </si>
  <si>
    <t>15</t>
  </si>
  <si>
    <t>투자 (제일 아래칸에 시간 숫자로 쓰기)</t>
  </si>
  <si>
    <t>16</t>
  </si>
  <si>
    <t>개발 공부 + 태희님 첫 세션</t>
  </si>
  <si>
    <t>17</t>
  </si>
  <si>
    <t>태형이형과 함께한 코칭 및 디버깅에 대한 공부</t>
  </si>
  <si>
    <t>디버깅 책 대여, 1회독 시작/ 코테문제 레벨 0 1개</t>
  </si>
  <si>
    <t>방통대 스터디 첫 비대면 정기모임</t>
  </si>
  <si>
    <t>18</t>
  </si>
  <si>
    <t>19</t>
  </si>
  <si>
    <t>Self Care</t>
  </si>
  <si>
    <t>21</t>
  </si>
  <si>
    <t>스터디끝나고 공부하자 영록아 ^^</t>
  </si>
  <si>
    <t>22</t>
  </si>
  <si>
    <t>23</t>
  </si>
  <si>
    <t>5일차  9월  21일</t>
  </si>
  <si>
    <t>6일차  9월  22일</t>
  </si>
  <si>
    <t>7일차  9월  23일</t>
  </si>
  <si>
    <t>해당 주차 소비시간 정산</t>
  </si>
  <si>
    <t>1일</t>
  </si>
  <si>
    <t>2일</t>
  </si>
  <si>
    <t>3일</t>
  </si>
  <si>
    <t>4일</t>
  </si>
  <si>
    <t>5일</t>
  </si>
  <si>
    <t>6일</t>
  </si>
  <si>
    <t>7일</t>
  </si>
  <si>
    <t>수면시간</t>
  </si>
  <si>
    <t>총 시간</t>
  </si>
  <si>
    <t>평균 시간</t>
  </si>
  <si>
    <t>기초생활시간</t>
  </si>
  <si>
    <t>수동적 소비시간</t>
  </si>
  <si>
    <t>작성 주차    1주차</t>
  </si>
  <si>
    <t>집안 청소 -&gt; 저녁식사 및 이동</t>
  </si>
  <si>
    <t>식사 + 이동</t>
  </si>
  <si>
    <t>주도적 사용시간</t>
  </si>
  <si>
    <t>1일차  6월  11일</t>
  </si>
  <si>
    <t>2일차  6월  12일</t>
  </si>
  <si>
    <t>3일차  6월  13일</t>
  </si>
  <si>
    <t>4일차  6월  14일</t>
  </si>
  <si>
    <t>투자시간</t>
  </si>
  <si>
    <t>1일차  월  일</t>
  </si>
  <si>
    <t>깊게 잠을 못잠, 중간에 깸</t>
  </si>
  <si>
    <t>8시에 깼다가 더자야지 하고 11시까지 슬립</t>
  </si>
  <si>
    <t>2일차  월  일</t>
  </si>
  <si>
    <t>3일차  월  일</t>
  </si>
  <si>
    <t>4일차  월  일</t>
  </si>
  <si>
    <t>새벽 귀칼 2기 정주행</t>
  </si>
  <si>
    <t>귀칼 3기 정주행..</t>
  </si>
  <si>
    <t>저녁 복싱 스파링 5라운드으~ 몸에 힘이 너무 많이 들어가있다.</t>
  </si>
  <si>
    <t>카페 사진찍으러 이동, 논현 엔커피스튜디오 코칭이동</t>
  </si>
  <si>
    <t>식사 및 이동</t>
  </si>
  <si>
    <t>도서관</t>
  </si>
  <si>
    <t>도서관 착석,</t>
  </si>
  <si>
    <t>채용공고 확인중, 방통대 수업 듣기.</t>
  </si>
  <si>
    <t>이제 귀칼 끝, 애니메이션 너무길어서 못 보겠음</t>
  </si>
  <si>
    <t>아 귀칼 3기 정주행..</t>
  </si>
  <si>
    <t>자기 전에 광장 보다 잠</t>
  </si>
  <si>
    <t>웹툰보기, 밍기적 거림</t>
  </si>
  <si>
    <t>카페 사진, 라이프리프터 코칭</t>
  </si>
  <si>
    <t>작성 주차    2주차</t>
  </si>
  <si>
    <t>카페사진 편집</t>
  </si>
  <si>
    <t>1일차  9월  24일</t>
  </si>
  <si>
    <t>2일차  9월  25일</t>
  </si>
  <si>
    <t>3일차  9월  26일</t>
  </si>
  <si>
    <t>4일차  9월  27일</t>
  </si>
  <si>
    <t>기말시험공부(운영체제, 알고리즘)</t>
  </si>
  <si>
    <t>기말시험공부(운영체제, 정보통신망), 코딩테스트 1문제</t>
  </si>
  <si>
    <t>그럼에도 불구하고..</t>
  </si>
  <si>
    <t>공부하기 귀찮다</t>
  </si>
  <si>
    <t>기억이 안난다//</t>
  </si>
  <si>
    <t>5일차  6월 15일</t>
  </si>
  <si>
    <t>6일차  6월 16 일</t>
  </si>
  <si>
    <t>7일차  6월  17일</t>
  </si>
  <si>
    <t>늦잠 잘잠</t>
  </si>
  <si>
    <t>갑자기 새벽에 전어가 땡겨서 시켜먹어버림..존나 예상치 못했다.</t>
  </si>
  <si>
    <t>5일차  월  일</t>
  </si>
  <si>
    <t>6일차  월  일</t>
  </si>
  <si>
    <t>7일차  월  일</t>
  </si>
  <si>
    <t>새벽: 귀칼</t>
  </si>
  <si>
    <t>에어컨 청소. 하 3주에 한번씩 세정제 뿌려서 청소해야할듯.</t>
  </si>
  <si>
    <t>저녁: 태희님코칭</t>
  </si>
  <si>
    <t xml:space="preserve">곰팡이 오지게 피네;;; </t>
  </si>
  <si>
    <t>밥, 이동, 커피</t>
  </si>
  <si>
    <t>15인가 임수진이라는 친구 도서관에서 우연히 만나서 같이 점심 먹음</t>
  </si>
  <si>
    <t>코테 1문제,</t>
  </si>
  <si>
    <t>실용주의 프로그래머 책읽기</t>
  </si>
  <si>
    <t>잠들지 못함.. 내일의 걱정</t>
  </si>
  <si>
    <t>자기전 노래 들으며 웹툰</t>
  </si>
  <si>
    <t>오늘 저녁 간만에 친구들이랑 저녁식사. 아름다운 자리</t>
  </si>
  <si>
    <t>기말 시험</t>
  </si>
  <si>
    <t>운동 + 사진 보정</t>
  </si>
  <si>
    <t>시험공부.</t>
  </si>
  <si>
    <t>이력서 다시 고치기 시작, 코테 1문제</t>
  </si>
  <si>
    <t>이력서 잘 못쓴걸 깨닫게 되었다, 깊이가 부족한 프로젝트의 설명이 결국 서류 합격을 못이루어 낸것.</t>
  </si>
  <si>
    <t>프로젝트가 2개만 있어도 되니까 깊이 있게, 원래 프로젝트를 고도화 시키는 작업이 필요</t>
  </si>
  <si>
    <t>5일차  9월  27일</t>
  </si>
  <si>
    <t>6일차  9월  28일</t>
  </si>
  <si>
    <t>7일차  9월 29일</t>
  </si>
  <si>
    <t>이제 알바를 해볼까 돈이 없다.</t>
  </si>
  <si>
    <t>1일차  6월  18일</t>
  </si>
  <si>
    <t>2일차  6월  19일</t>
  </si>
  <si>
    <t>3일차  6월  20일</t>
  </si>
  <si>
    <t>왜 계속 중간에 깨고 즤랄인가?</t>
  </si>
  <si>
    <t>4일차  6월  21일</t>
  </si>
  <si>
    <t>진짜 못잠;; 버스에서 이동중에 기절</t>
  </si>
  <si>
    <t>진짜 5시간 개꿀잠 잤음</t>
  </si>
  <si>
    <t>밀린 잠을 잔건가?</t>
  </si>
  <si>
    <t>이천3터미널 이동시간만 3시간...</t>
  </si>
  <si>
    <t>이동시간 왕복 거의 4시간 제기랄</t>
  </si>
  <si>
    <t>운동 끝나고 저녁거리 사러, 내일 손님 찬거리 쇼핑</t>
  </si>
  <si>
    <t>집오면 씻고 빨래감들 돌리고 나오면 딱 9시;;</t>
  </si>
  <si>
    <t>4시까지 잠을 못잠..</t>
  </si>
  <si>
    <t xml:space="preserve">집 다녀옴 왜인지를 모르겠음 그냥 </t>
  </si>
  <si>
    <t>쿠팡 단기 알바</t>
  </si>
  <si>
    <t>쿠팡 알바</t>
  </si>
  <si>
    <t>화장실 줄눈 보수</t>
  </si>
  <si>
    <t>영화감상(바스터즈) + 화장실 줄눈 보수 - 자기전</t>
  </si>
  <si>
    <t>이동 시간 아까워서 책 읽음(소프트 스킬)</t>
  </si>
  <si>
    <t>복싱</t>
  </si>
  <si>
    <t>복싱, 화장실 줄눈 보수</t>
  </si>
  <si>
    <t>갔다와서 집 정리 조금하고 멍하게 있었다.</t>
  </si>
  <si>
    <t xml:space="preserve">일단 도서관 왔음. </t>
  </si>
  <si>
    <t>9시30분 도서관 차악석!</t>
  </si>
  <si>
    <t>기빨린 이 기분</t>
  </si>
  <si>
    <t>다리는 아프다. 덥기도 하다. 근데 뭔가 조온나 피곤하지는 않다.</t>
  </si>
  <si>
    <t>복싱 코칭 10-12</t>
  </si>
  <si>
    <t>스터디 홍보팀 미팅, 음 간만에 3시간을 떠들었다. 오랜만에 낯선사람들과 이야기를 나누니 즐겁기도 했고, 다들 프로그래밍에 진심이고 발전욕구가 강한사람들이라서 좋았다.</t>
  </si>
  <si>
    <t>내동생 만나서 남친 이야기 들어주기 6-10</t>
  </si>
  <si>
    <t>신기한게 다들 일본만화랑 음악 조아하더라 ㅋㅋㅋ</t>
  </si>
  <si>
    <t>5일차  6월  22일</t>
  </si>
  <si>
    <t>6일차  6월  23일</t>
  </si>
  <si>
    <t>작성 주차    3주차</t>
  </si>
  <si>
    <t>1일차  9월  30일</t>
  </si>
  <si>
    <t>2일차  10월  1일</t>
  </si>
  <si>
    <t>3일차  10월  2일</t>
  </si>
  <si>
    <t>4일차  10월  3일</t>
  </si>
  <si>
    <t>홍선이형네 놀러옴, 대청소</t>
  </si>
  <si>
    <t>왜관 너무멀다</t>
  </si>
  <si>
    <t>본가 내려가기 전 집청소 및 짐싸기</t>
  </si>
  <si>
    <t>그로스로그 오프라인 원티드 커리어코칭 강연</t>
  </si>
  <si>
    <t xml:space="preserve">라이프리프터 코칭 이후 세종대학교 축제 참여. </t>
  </si>
  <si>
    <t>태희님 코칭. 인간의 언어를 컴퓨터 언어로 추상화시키는 능력 학습</t>
  </si>
  <si>
    <t>뒷풀이때 많은 이야기를 나눴는데 하 난 농도가 현저히 부족하다.</t>
  </si>
  <si>
    <t>1일차  6월  24일</t>
  </si>
  <si>
    <t>2일차  6월  25일</t>
  </si>
  <si>
    <t>3일차 2025. 6. 26</t>
  </si>
  <si>
    <t>4일차  6월  27일</t>
  </si>
  <si>
    <t>오늘을 행복하게 보냄, 축제 갔다가 중랑천가서 일일회고하고 정리한거 잘한듯</t>
  </si>
  <si>
    <t>5일차  10월  14일</t>
  </si>
  <si>
    <t>6일차  10월  15일</t>
  </si>
  <si>
    <t>과음</t>
  </si>
  <si>
    <t>5일차  6월  28일</t>
  </si>
  <si>
    <t>6일차  6월  29일</t>
  </si>
  <si>
    <t>7일차  6월  30일</t>
  </si>
  <si>
    <t>작성 주차   4주차</t>
  </si>
  <si>
    <t>1일차  7월  1일</t>
  </si>
  <si>
    <t>쿠팡</t>
  </si>
  <si>
    <t>다이소 사야할 것들과 빨래, 그리고 집안 일(계획해 놓음)</t>
  </si>
  <si>
    <t>코테 1문제 품</t>
  </si>
  <si>
    <t>이 날씨에 에어컨 없이 일하는 사람들 진짜 리스펙</t>
  </si>
  <si>
    <t>존나 멋짐 일가기 싫다 시바아</t>
  </si>
  <si>
    <t>월 소비시간 분석 그래프</t>
  </si>
  <si>
    <t>최대 변동폭</t>
  </si>
  <si>
    <t>소비 시간 피드백 (업데이트 예정)</t>
  </si>
  <si>
    <t>그래프용 데이터</t>
  </si>
  <si>
    <t>잠</t>
  </si>
  <si>
    <t>기</t>
  </si>
  <si>
    <t>수</t>
  </si>
  <si>
    <t>주</t>
  </si>
  <si>
    <t>투</t>
  </si>
  <si>
    <t>합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</si>
  <si>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</si>
  <si>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</si>
  <si>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</si>
  <si>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</si>
  <si>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</si>
  <si>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</si>
  <si>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</si>
  <si>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</si>
  <si>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</si>
  <si>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</si>
  <si>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</si>
  <si>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</si>
  <si>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</si>
  <si>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</si>
  <si>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</si>
  <si>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</si>
  <si>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</si>
  <si>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</si>
  <si>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</si>
  <si>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</si>
  <si>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</si>
  <si>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비율 계산용 합계 값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</si>
</sst>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color rgb="FFFFD966"/>
      <name val="Arial"/>
    </font>
    <font>
      <color rgb="FF8E7CC3"/>
      <name val="Arial"/>
    </font>
    <font>
      <color rgb="FF93C47D"/>
      <name val="Arial"/>
    </font>
    <font>
      <color rgb="FF6D9EEB"/>
      <name val="Arial"/>
    </font>
    <font>
      <color rgb="FFEA9999"/>
      <name val="Arial"/>
    </font>
    <font/>
  </fonts>
  <fills count="1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A2C4C9"/>
        <bgColor rgb="FFA2C4C9"/>
      </patternFill>
    </fill>
    <fill>
      <patternFill patternType="solid">
        <fgColor rgb="FFF9CB9C"/>
        <bgColor rgb="FFF9CB9C"/>
      </patternFill>
    </fill>
    <fill>
      <patternFill patternType="solid">
        <fgColor theme="6"/>
        <bgColor theme="6"/>
      </patternFill>
    </fill>
    <fill>
      <patternFill patternType="solid">
        <fgColor rgb="FFFFB6B6"/>
        <bgColor rgb="FFFFB6B6"/>
      </patternFill>
    </fill>
  </fills>
  <borders count="16">
    <border/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3" fillId="2" fontId="2" numFmtId="0" xfId="0" applyBorder="1" applyFont="1"/>
    <xf borderId="0" fillId="0" fontId="1" numFmtId="0" xfId="0" applyAlignment="1" applyFont="1">
      <alignment vertical="bottom"/>
    </xf>
    <xf borderId="4" fillId="3" fontId="2" numFmtId="0" xfId="0" applyBorder="1" applyFill="1" applyFont="1"/>
    <xf borderId="0" fillId="3" fontId="2" numFmtId="0" xfId="0" applyFont="1"/>
    <xf borderId="5" fillId="3" fontId="2" numFmtId="0" xfId="0" applyBorder="1" applyFont="1"/>
    <xf borderId="4" fillId="3" fontId="2" numFmtId="0" xfId="0" applyAlignment="1" applyBorder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6" fillId="3" fontId="2" numFmtId="0" xfId="0" applyBorder="1" applyFont="1"/>
    <xf borderId="7" fillId="3" fontId="2" numFmtId="0" xfId="0" applyBorder="1" applyFont="1"/>
    <xf borderId="8" fillId="3" fontId="2" numFmtId="0" xfId="0" applyBorder="1" applyFont="1"/>
    <xf borderId="9" fillId="5" fontId="2" numFmtId="0" xfId="0" applyAlignment="1" applyBorder="1" applyFill="1" applyFont="1">
      <alignment readingOrder="0"/>
    </xf>
    <xf borderId="10" fillId="5" fontId="2" numFmtId="0" xfId="0" applyAlignment="1" applyBorder="1" applyFont="1">
      <alignment readingOrder="0"/>
    </xf>
    <xf borderId="10" fillId="5" fontId="2" numFmtId="0" xfId="0" applyBorder="1" applyFont="1"/>
    <xf borderId="11" fillId="5" fontId="2" numFmtId="0" xfId="0" applyBorder="1" applyFont="1"/>
    <xf borderId="4" fillId="0" fontId="2" numFmtId="0" xfId="0" applyAlignment="1" applyBorder="1" applyFont="1">
      <alignment horizontal="center" readingOrder="0"/>
    </xf>
    <xf borderId="0" fillId="4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5" fillId="0" fontId="2" numFmtId="0" xfId="0" applyBorder="1" applyFont="1"/>
    <xf borderId="12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vertical="bottom"/>
    </xf>
    <xf borderId="12" fillId="0" fontId="1" numFmtId="0" xfId="0" applyAlignment="1" applyBorder="1" applyFont="1">
      <alignment vertical="bottom"/>
    </xf>
    <xf borderId="12" fillId="6" fontId="4" numFmtId="0" xfId="0" applyAlignment="1" applyBorder="1" applyFill="1" applyFont="1">
      <alignment horizontal="right" vertical="bottom"/>
    </xf>
    <xf borderId="12" fillId="7" fontId="5" numFmtId="0" xfId="0" applyAlignment="1" applyBorder="1" applyFill="1" applyFont="1">
      <alignment horizontal="right" vertical="bottom"/>
    </xf>
    <xf borderId="12" fillId="8" fontId="6" numFmtId="0" xfId="0" applyAlignment="1" applyBorder="1" applyFill="1" applyFont="1">
      <alignment horizontal="right" vertical="bottom"/>
    </xf>
    <xf borderId="12" fillId="9" fontId="7" numFmtId="0" xfId="0" applyAlignment="1" applyBorder="1" applyFill="1" applyFont="1">
      <alignment horizontal="right" vertical="bottom"/>
    </xf>
    <xf borderId="12" fillId="10" fontId="8" numFmtId="0" xfId="0" applyAlignment="1" applyBorder="1" applyFill="1" applyFont="1">
      <alignment horizontal="right" vertical="bottom"/>
    </xf>
    <xf borderId="6" fillId="0" fontId="1" numFmtId="0" xfId="0" applyAlignment="1" applyBorder="1" applyFont="1">
      <alignment horizontal="center" vertical="bottom"/>
    </xf>
    <xf borderId="12" fillId="11" fontId="1" numFmtId="49" xfId="0" applyAlignment="1" applyBorder="1" applyFill="1" applyFont="1" applyNumberFormat="1">
      <alignment horizontal="right" vertical="bottom"/>
    </xf>
    <xf borderId="13" fillId="6" fontId="1" numFmtId="0" xfId="0" applyAlignment="1" applyBorder="1" applyFont="1">
      <alignment vertical="bottom"/>
    </xf>
    <xf borderId="12" fillId="12" fontId="1" numFmtId="49" xfId="0" applyAlignment="1" applyBorder="1" applyFill="1" applyFont="1" applyNumberFormat="1">
      <alignment horizontal="right" vertical="bottom"/>
    </xf>
    <xf borderId="12" fillId="6" fontId="1" numFmtId="0" xfId="0" applyAlignment="1" applyBorder="1" applyFont="1">
      <alignment vertical="bottom"/>
    </xf>
    <xf borderId="13" fillId="0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13" fillId="0" fontId="1" numFmtId="0" xfId="0" applyAlignment="1" applyBorder="1" applyFont="1">
      <alignment vertical="bottom"/>
    </xf>
    <xf borderId="14" fillId="0" fontId="1" numFmtId="0" xfId="0" applyAlignment="1" applyBorder="1" applyFont="1">
      <alignment vertical="bottom"/>
    </xf>
    <xf borderId="11" fillId="12" fontId="1" numFmtId="49" xfId="0" applyAlignment="1" applyBorder="1" applyFont="1" applyNumberFormat="1">
      <alignment horizontal="right" vertical="bottom"/>
    </xf>
    <xf borderId="15" fillId="0" fontId="1" numFmtId="0" xfId="0" applyAlignment="1" applyBorder="1" applyFont="1">
      <alignment horizontal="right" vertical="bottom"/>
    </xf>
    <xf borderId="14" fillId="7" fontId="1" numFmtId="0" xfId="0" applyAlignment="1" applyBorder="1" applyFont="1">
      <alignment vertical="bottom"/>
    </xf>
    <xf borderId="14" fillId="0" fontId="1" numFmtId="0" xfId="0" applyAlignment="1" applyBorder="1" applyFont="1">
      <alignment readingOrder="0" vertical="bottom"/>
    </xf>
    <xf borderId="14" fillId="8" fontId="1" numFmtId="0" xfId="0" applyAlignment="1" applyBorder="1" applyFont="1">
      <alignment vertical="bottom"/>
    </xf>
    <xf borderId="14" fillId="9" fontId="1" numFmtId="0" xfId="0" applyAlignment="1" applyBorder="1" applyFont="1">
      <alignment vertical="bottom"/>
    </xf>
    <xf borderId="14" fillId="0" fontId="1" numFmtId="0" xfId="0" applyAlignment="1" applyBorder="1" applyFont="1">
      <alignment vertical="bottom"/>
    </xf>
    <xf borderId="14" fillId="10" fontId="1" numFmtId="0" xfId="0" applyAlignment="1" applyBorder="1" applyFont="1">
      <alignment vertical="bottom"/>
    </xf>
    <xf borderId="15" fillId="13" fontId="1" numFmtId="0" xfId="0" applyAlignment="1" applyBorder="1" applyFill="1" applyFont="1">
      <alignment vertical="bottom"/>
    </xf>
    <xf borderId="15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5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12" fillId="0" fontId="1" numFmtId="0" xfId="0" applyAlignment="1" applyBorder="1" applyFont="1">
      <alignment horizontal="center" vertical="bottom"/>
    </xf>
    <xf borderId="12" fillId="3" fontId="1" numFmtId="0" xfId="0" applyAlignment="1" applyBorder="1" applyFont="1">
      <alignment vertical="bottom"/>
    </xf>
    <xf borderId="12" fillId="0" fontId="1" numFmtId="0" xfId="0" applyAlignment="1" applyBorder="1" applyFont="1">
      <alignment horizontal="right" vertical="bottom"/>
    </xf>
    <xf borderId="15" fillId="6" fontId="1" numFmtId="0" xfId="0" applyAlignment="1" applyBorder="1" applyFont="1">
      <alignment vertical="bottom"/>
    </xf>
    <xf borderId="9" fillId="14" fontId="1" numFmtId="0" xfId="0" applyAlignment="1" applyBorder="1" applyFill="1" applyFont="1">
      <alignment vertical="bottom"/>
    </xf>
    <xf borderId="11" fillId="0" fontId="9" numFmtId="0" xfId="0" applyBorder="1" applyFont="1"/>
    <xf borderId="11" fillId="0" fontId="1" numFmtId="0" xfId="0" applyAlignment="1" applyBorder="1" applyFont="1">
      <alignment horizontal="right" vertical="bottom"/>
    </xf>
    <xf borderId="9" fillId="15" fontId="1" numFmtId="0" xfId="0" applyAlignment="1" applyBorder="1" applyFill="1" applyFont="1">
      <alignment vertical="bottom"/>
    </xf>
    <xf borderId="10" fillId="0" fontId="9" numFmtId="0" xfId="0" applyBorder="1" applyFont="1"/>
    <xf borderId="13" fillId="7" fontId="1" numFmtId="0" xfId="0" applyAlignment="1" applyBorder="1" applyFont="1">
      <alignment vertical="bottom"/>
    </xf>
    <xf borderId="15" fillId="7" fontId="1" numFmtId="0" xfId="0" applyAlignment="1" applyBorder="1" applyFont="1">
      <alignment vertical="bottom"/>
    </xf>
    <xf borderId="13" fillId="8" fontId="1" numFmtId="0" xfId="0" applyAlignment="1" applyBorder="1" applyFont="1">
      <alignment vertical="bottom"/>
    </xf>
    <xf borderId="12" fillId="0" fontId="1" numFmtId="0" xfId="0" applyAlignment="1" applyBorder="1" applyFont="1">
      <alignment vertical="bottom"/>
    </xf>
    <xf borderId="15" fillId="8" fontId="1" numFmtId="0" xfId="0" applyAlignment="1" applyBorder="1" applyFont="1">
      <alignment vertical="bottom"/>
    </xf>
    <xf borderId="13" fillId="0" fontId="1" numFmtId="0" xfId="0" applyAlignment="1" applyBorder="1" applyFont="1">
      <alignment vertical="bottom"/>
    </xf>
    <xf borderId="13" fillId="9" fontId="1" numFmtId="0" xfId="0" applyAlignment="1" applyBorder="1" applyFont="1">
      <alignment vertical="bottom"/>
    </xf>
    <xf borderId="12" fillId="0" fontId="2" numFmtId="0" xfId="0" applyAlignment="1" applyBorder="1" applyFont="1">
      <alignment horizontal="center" readingOrder="0"/>
    </xf>
    <xf borderId="15" fillId="9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12" fillId="0" fontId="2" numFmtId="0" xfId="0" applyBorder="1" applyFont="1"/>
    <xf borderId="12" fillId="9" fontId="7" numFmtId="0" xfId="0" applyAlignment="1" applyBorder="1" applyFont="1">
      <alignment vertical="bottom"/>
    </xf>
    <xf borderId="12" fillId="10" fontId="8" numFmtId="0" xfId="0" applyAlignment="1" applyBorder="1" applyFont="1">
      <alignment vertical="bottom"/>
    </xf>
    <xf borderId="9" fillId="6" fontId="4" numFmtId="0" xfId="0" applyAlignment="1" applyBorder="1" applyFont="1">
      <alignment horizontal="right" vertical="bottom"/>
    </xf>
    <xf borderId="6" fillId="0" fontId="2" numFmtId="0" xfId="0" applyAlignment="1" applyBorder="1" applyFont="1">
      <alignment horizontal="center" readingOrder="0"/>
    </xf>
    <xf borderId="12" fillId="11" fontId="2" numFmtId="49" xfId="0" applyAlignment="1" applyBorder="1" applyFont="1" applyNumberFormat="1">
      <alignment horizontal="right" readingOrder="0"/>
    </xf>
    <xf borderId="12" fillId="0" fontId="2" numFmtId="0" xfId="0" applyAlignment="1" applyBorder="1" applyFont="1">
      <alignment horizontal="right"/>
    </xf>
    <xf borderId="15" fillId="10" fontId="1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8" fillId="0" fontId="1" numFmtId="0" xfId="0" applyAlignment="1" applyBorder="1" applyFont="1">
      <alignment vertical="bottom"/>
    </xf>
    <xf borderId="12" fillId="4" fontId="1" numFmtId="0" xfId="0" applyAlignment="1" applyBorder="1" applyFont="1">
      <alignment vertical="bottom"/>
    </xf>
    <xf borderId="12" fillId="0" fontId="2" numFmtId="0" xfId="0" applyAlignment="1" applyBorder="1" applyFont="1">
      <alignment horizontal="right" readingOrder="0"/>
    </xf>
    <xf borderId="12" fillId="4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14" fillId="9" fontId="3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13" fillId="0" fontId="2" numFmtId="0" xfId="0" applyAlignment="1" applyBorder="1" applyFont="1">
      <alignment readingOrder="0"/>
    </xf>
    <xf borderId="9" fillId="5" fontId="1" numFmtId="0" xfId="0" applyAlignment="1" applyBorder="1" applyFont="1">
      <alignment vertical="bottom"/>
    </xf>
    <xf borderId="10" fillId="5" fontId="1" numFmtId="0" xfId="0" applyAlignment="1" applyBorder="1" applyFont="1">
      <alignment vertical="bottom"/>
    </xf>
    <xf borderId="10" fillId="5" fontId="1" numFmtId="0" xfId="0" applyAlignment="1" applyBorder="1" applyFont="1">
      <alignment vertical="bottom"/>
    </xf>
    <xf borderId="14" fillId="0" fontId="2" numFmtId="0" xfId="0" applyAlignment="1" applyBorder="1" applyFont="1">
      <alignment readingOrder="0"/>
    </xf>
    <xf borderId="11" fillId="5" fontId="1" numFmtId="0" xfId="0" applyAlignment="1" applyBorder="1" applyFont="1">
      <alignment vertical="bottom"/>
    </xf>
    <xf borderId="0" fillId="4" fontId="1" numFmtId="0" xfId="0" applyAlignment="1" applyFont="1">
      <alignment vertical="bottom"/>
    </xf>
    <xf borderId="14" fillId="10" fontId="3" numFmtId="0" xfId="0" applyAlignment="1" applyBorder="1" applyFont="1">
      <alignment vertical="bottom"/>
    </xf>
    <xf borderId="14" fillId="0" fontId="2" numFmtId="0" xfId="0" applyBorder="1" applyFont="1"/>
    <xf borderId="15" fillId="0" fontId="2" numFmtId="0" xfId="0" applyBorder="1" applyFont="1"/>
    <xf borderId="1" fillId="0" fontId="2" numFmtId="0" xfId="0" applyBorder="1" applyFont="1"/>
    <xf borderId="4" fillId="0" fontId="2" numFmtId="0" xfId="0" applyBorder="1" applyFont="1"/>
    <xf borderId="12" fillId="3" fontId="2" numFmtId="0" xfId="0" applyAlignment="1" applyBorder="1" applyFont="1">
      <alignment readingOrder="0"/>
    </xf>
    <xf borderId="13" fillId="6" fontId="2" numFmtId="0" xfId="0" applyAlignment="1" applyBorder="1" applyFont="1">
      <alignment readingOrder="0"/>
    </xf>
    <xf borderId="12" fillId="0" fontId="2" numFmtId="0" xfId="0" applyAlignment="1" applyBorder="1" applyFont="1">
      <alignment readingOrder="0"/>
    </xf>
    <xf borderId="15" fillId="6" fontId="2" numFmtId="0" xfId="0" applyBorder="1" applyFont="1"/>
    <xf borderId="9" fillId="14" fontId="2" numFmtId="0" xfId="0" applyAlignment="1" applyBorder="1" applyFont="1">
      <alignment readingOrder="0"/>
    </xf>
    <xf borderId="11" fillId="0" fontId="2" numFmtId="0" xfId="0" applyAlignment="1" applyBorder="1" applyFont="1">
      <alignment readingOrder="0"/>
    </xf>
    <xf borderId="9" fillId="15" fontId="2" numFmtId="0" xfId="0" applyAlignment="1" applyBorder="1" applyFont="1">
      <alignment readingOrder="0"/>
    </xf>
    <xf borderId="13" fillId="7" fontId="2" numFmtId="0" xfId="0" applyAlignment="1" applyBorder="1" applyFont="1">
      <alignment readingOrder="0"/>
    </xf>
    <xf borderId="15" fillId="7" fontId="2" numFmtId="0" xfId="0" applyBorder="1" applyFont="1"/>
    <xf borderId="13" fillId="8" fontId="2" numFmtId="0" xfId="0" applyAlignment="1" applyBorder="1" applyFont="1">
      <alignment readingOrder="0"/>
    </xf>
    <xf borderId="15" fillId="8" fontId="2" numFmtId="0" xfId="0" applyBorder="1" applyFont="1"/>
    <xf borderId="13" fillId="9" fontId="2" numFmtId="0" xfId="0" applyAlignment="1" applyBorder="1" applyFont="1">
      <alignment readingOrder="0"/>
    </xf>
    <xf borderId="15" fillId="9" fontId="2" numFmtId="0" xfId="0" applyBorder="1" applyFont="1"/>
    <xf borderId="14" fillId="10" fontId="2" numFmtId="0" xfId="0" applyAlignment="1" applyBorder="1" applyFont="1">
      <alignment readingOrder="0"/>
    </xf>
    <xf borderId="15" fillId="10" fontId="2" numFmtId="0" xfId="0" applyBorder="1" applyFont="1"/>
    <xf borderId="8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12" fillId="4" fontId="1" numFmtId="0" xfId="0" applyAlignment="1" applyBorder="1" applyFont="1">
      <alignment readingOrder="0" vertical="bottom"/>
    </xf>
    <xf borderId="9" fillId="5" fontId="1" numFmtId="0" xfId="0" applyAlignment="1" applyBorder="1" applyFont="1">
      <alignment readingOrder="0" vertical="bottom"/>
    </xf>
    <xf borderId="0" fillId="16" fontId="1" numFmtId="0" xfId="0" applyAlignment="1" applyFill="1" applyFont="1">
      <alignment readingOrder="0" vertical="bottom"/>
    </xf>
    <xf borderId="0" fillId="16" fontId="2" numFmtId="0" xfId="0" applyFont="1"/>
    <xf borderId="0" fillId="17" fontId="1" numFmtId="0" xfId="0" applyAlignment="1" applyFill="1" applyFont="1">
      <alignment readingOrder="0" vertical="bottom"/>
    </xf>
    <xf borderId="0" fillId="17" fontId="2" numFmtId="0" xfId="0" applyFont="1"/>
    <xf borderId="0" fillId="0" fontId="1" numFmtId="2" xfId="0" applyAlignment="1" applyFont="1" applyNumberFormat="1">
      <alignment vertical="bottom"/>
    </xf>
    <xf borderId="0" fillId="16" fontId="3" numFmtId="0" xfId="0" applyAlignment="1" applyFont="1">
      <alignment horizontal="left" readingOrder="0"/>
    </xf>
    <xf borderId="0" fillId="16" fontId="1" numFmtId="0" xfId="0" applyAlignment="1" applyFont="1">
      <alignment vertical="bottom"/>
    </xf>
    <xf borderId="0" fillId="17" fontId="3" numFmtId="0" xfId="0" applyAlignment="1" applyFont="1">
      <alignment horizontal="left" readingOrder="0"/>
    </xf>
    <xf borderId="0" fillId="17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7" fontId="1" numFmtId="0" xfId="0" applyAlignment="1" applyFont="1">
      <alignment readingOrder="0" vertical="bottom"/>
    </xf>
    <xf borderId="0" fillId="7" fontId="2" numFmtId="0" xfId="0" applyFont="1"/>
    <xf borderId="0" fillId="8" fontId="1" numFmtId="0" xfId="0" applyAlignment="1" applyFont="1">
      <alignment readingOrder="0" vertical="bottom"/>
    </xf>
    <xf borderId="0" fillId="8" fontId="2" numFmtId="0" xfId="0" applyFont="1"/>
    <xf borderId="0" fillId="9" fontId="1" numFmtId="0" xfId="0" applyAlignment="1" applyFont="1">
      <alignment readingOrder="0" vertical="bottom"/>
    </xf>
    <xf borderId="0" fillId="9" fontId="2" numFmtId="0" xfId="0" applyFont="1"/>
    <xf borderId="0" fillId="7" fontId="3" numFmtId="0" xfId="0" applyAlignment="1" applyFont="1">
      <alignment horizontal="left" readingOrder="0"/>
    </xf>
    <xf borderId="0" fillId="7" fontId="1" numFmtId="0" xfId="0" applyAlignment="1" applyFont="1">
      <alignment vertical="bottom"/>
    </xf>
    <xf borderId="0" fillId="8" fontId="3" numFmtId="0" xfId="0" applyAlignment="1" applyFont="1">
      <alignment horizontal="left" readingOrder="0"/>
    </xf>
    <xf borderId="0" fillId="8" fontId="1" numFmtId="0" xfId="0" applyAlignment="1" applyFont="1">
      <alignment vertical="bottom"/>
    </xf>
    <xf borderId="0" fillId="9" fontId="3" numFmtId="0" xfId="0" applyAlignment="1" applyFont="1">
      <alignment horizontal="left" readingOrder="0"/>
    </xf>
    <xf borderId="0" fillId="9" fontId="1" numFmtId="0" xfId="0" applyAlignment="1" applyFont="1">
      <alignment vertical="bottom"/>
    </xf>
    <xf borderId="12" fillId="5" fontId="1" numFmtId="0" xfId="0" applyAlignment="1" applyBorder="1" applyFont="1">
      <alignment vertical="bottom"/>
    </xf>
    <xf borderId="12" fillId="5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/>
    </xf>
    <xf borderId="0" fillId="0" fontId="2" numFmtId="0" xfId="0" applyFont="1"/>
    <xf borderId="6" fillId="0" fontId="2" numFmtId="0" xfId="0" applyAlignment="1" applyBorder="1" applyFont="1">
      <alignment readingOrder="0"/>
    </xf>
    <xf borderId="0" fillId="0" fontId="1" numFmtId="0" xfId="0" applyAlignment="1" applyFont="1">
      <alignment horizontal="right" vertical="bottom"/>
    </xf>
    <xf borderId="5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7" fillId="0" fontId="1" numFmtId="0" xfId="0" applyAlignment="1" applyBorder="1" applyFont="1">
      <alignment horizontal="right" vertical="bottom"/>
    </xf>
    <xf borderId="8" fillId="0" fontId="1" numFmtId="0" xfId="0" applyAlignment="1" applyBorder="1" applyFont="1">
      <alignment horizontal="right" vertical="bottom"/>
    </xf>
  </cellXfs>
  <cellStyles count="1">
    <cellStyle xfId="0" name="Normal" builtinId="0"/>
  </cellStyles>
  <dxfs count="15">
    <dxf>
      <font/>
      <fill>
        <patternFill patternType="solid">
          <fgColor rgb="FFFFFFFF"/>
          <bgColor rgb="FFFFFFFF"/>
        </patternFill>
      </fill>
      <border/>
    </dxf>
    <dxf>
      <font>
        <color rgb="FFFFD966"/>
      </font>
      <fill>
        <patternFill patternType="solid">
          <fgColor rgb="FFFFD966"/>
          <bgColor rgb="FFFFD966"/>
        </patternFill>
      </fill>
      <border/>
    </dxf>
    <dxf>
      <font>
        <color rgb="FF8E7CC3"/>
      </font>
      <fill>
        <patternFill patternType="solid">
          <fgColor rgb="FF8E7CC3"/>
          <bgColor rgb="FF8E7CC3"/>
        </patternFill>
      </fill>
      <border/>
    </dxf>
    <dxf>
      <font>
        <color rgb="FF93C47D"/>
      </font>
      <fill>
        <patternFill patternType="solid">
          <fgColor rgb="FF93C47D"/>
          <bgColor rgb="FF93C47D"/>
        </patternFill>
      </fill>
      <border/>
    </dxf>
    <dxf>
      <font>
        <color rgb="FF6D9EEB"/>
      </font>
      <fill>
        <patternFill patternType="solid">
          <fgColor rgb="FF6D9EEB"/>
          <bgColor rgb="FF6D9EEB"/>
        </patternFill>
      </fill>
      <border/>
    </dxf>
    <dxf>
      <font>
        <color rgb="FFFFFFFF"/>
      </font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수면 시간 그래프</a:t>
            </a:r>
          </a:p>
        </c:rich>
      </c:tx>
      <c:overlay val="0"/>
    </c:title>
    <c:plotArea>
      <c:layout>
        <c:manualLayout>
          <c:xMode val="edge"/>
          <c:yMode val="edge"/>
          <c:x val="0.04798739133693045"/>
          <c:y val="0.18035714285714285"/>
          <c:w val="0.9352260379196643"/>
          <c:h val="0.6303224687933425"/>
        </c:manualLayout>
      </c:layout>
      <c:lineChart>
        <c:varyColors val="0"/>
        <c:ser>
          <c:idx val="0"/>
          <c:order val="0"/>
          <c:tx>
            <c:v>수면 시간</c:v>
          </c:tx>
          <c:spPr>
            <a:ln cmpd="sng">
              <a:solidFill>
                <a:srgbClr val="F1C232"/>
              </a:solidFill>
            </a:ln>
          </c:spPr>
          <c:marker>
            <c:symbol val="circle"/>
            <c:size val="10"/>
            <c:spPr>
              <a:solidFill>
                <a:srgbClr val="F1C232"/>
              </a:solidFill>
              <a:ln cmpd="sng">
                <a:solidFill>
                  <a:srgbClr val="F1C232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'2달차'!$B$329:$B$356</c:f>
              <c:numCache/>
            </c:numRef>
          </c:val>
          <c:smooth val="0"/>
        </c:ser>
        <c:axId val="1492868109"/>
        <c:axId val="369220135"/>
      </c:lineChart>
      <c:catAx>
        <c:axId val="14928681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in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9220135"/>
      </c:catAx>
      <c:valAx>
        <c:axId val="3692201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286810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투자 시간 그래프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투자 시간</c:v>
          </c:tx>
          <c:spPr>
            <a:ln cmpd="sng">
              <a:solidFill>
                <a:srgbClr val="FF9191"/>
              </a:solidFill>
            </a:ln>
          </c:spPr>
          <c:marker>
            <c:symbol val="circle"/>
            <c:size val="10"/>
            <c:spPr>
              <a:solidFill>
                <a:srgbClr val="FF9191"/>
              </a:solidFill>
              <a:ln cmpd="sng">
                <a:solidFill>
                  <a:srgbClr val="FF919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'2달차'!$F$329:$F$356</c:f>
              <c:numCache/>
            </c:numRef>
          </c:val>
          <c:smooth val="0"/>
        </c:ser>
        <c:axId val="931970567"/>
        <c:axId val="1966467053"/>
      </c:lineChart>
      <c:catAx>
        <c:axId val="931970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in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6467053"/>
      </c:catAx>
      <c:valAx>
        <c:axId val="19664670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197056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투자시간 외 가용 시간 그래프</a:t>
            </a:r>
          </a:p>
        </c:rich>
      </c:tx>
      <c:overlay val="0"/>
    </c:title>
    <c:plotArea>
      <c:layout/>
      <c:lineChart>
        <c:ser>
          <c:idx val="0"/>
          <c:order val="0"/>
          <c:tx>
            <c:v>수동적 소비시간</c:v>
          </c:tx>
          <c:spPr>
            <a:ln cmpd="sng">
              <a:solidFill>
                <a:srgbClr val="6AA84F"/>
              </a:solidFill>
            </a:ln>
          </c:spPr>
          <c:marker>
            <c:symbol val="circle"/>
            <c:size val="10"/>
            <c:spPr>
              <a:solidFill>
                <a:srgbClr val="6AA84F"/>
              </a:solidFill>
              <a:ln cmpd="sng">
                <a:solidFill>
                  <a:srgbClr val="6AA84F"/>
                </a:solidFill>
              </a:ln>
            </c:spPr>
          </c:marker>
          <c:dPt>
            <c:idx val="17"/>
            <c:marker>
              <c:symbol val="none"/>
            </c:marker>
          </c:dPt>
          <c:trendline>
            <c:name/>
            <c:spPr>
              <a:ln w="19050">
                <a:solidFill>
                  <a:srgbClr val="6AA84F">
                    <a:alpha val="50196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'2달차'!$D$329:$D$356</c:f>
              <c:numCache/>
            </c:numRef>
          </c:val>
          <c:smooth val="0"/>
        </c:ser>
        <c:ser>
          <c:idx val="1"/>
          <c:order val="1"/>
          <c:tx>
            <c:v>주도적 사용시간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20"/>
            <c:marker>
              <c:symbol val="none"/>
            </c:marker>
          </c:dPt>
          <c:trendline>
            <c:name/>
            <c:spPr>
              <a:ln w="19050">
                <a:solidFill>
                  <a:srgbClr val="4285F4">
                    <a:alpha val="50196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'2달차'!$E$329:$E$356</c:f>
              <c:numCache/>
            </c:numRef>
          </c:val>
          <c:smooth val="0"/>
        </c:ser>
        <c:axId val="557364730"/>
        <c:axId val="263459984"/>
      </c:lineChart>
      <c:catAx>
        <c:axId val="5573647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in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3459984"/>
      </c:catAx>
      <c:valAx>
        <c:axId val="2634599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7364730"/>
      </c:valAx>
    </c:plotArea>
    <c:legend>
      <c:legendPos val="b"/>
      <c:legendEntry>
        <c:idx val="1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기초 생활 시간 그래프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기초 생활 시간</c:v>
          </c:tx>
          <c:spPr>
            <a:ln cmpd="sng">
              <a:solidFill>
                <a:srgbClr val="674EA7"/>
              </a:solidFill>
            </a:ln>
          </c:spPr>
          <c:marker>
            <c:symbol val="circle"/>
            <c:size val="10"/>
            <c:spPr>
              <a:solidFill>
                <a:srgbClr val="674EA7"/>
              </a:solidFill>
              <a:ln cmpd="sng">
                <a:solidFill>
                  <a:srgbClr val="674EA7"/>
                </a:solidFill>
              </a:ln>
            </c:spPr>
          </c:marker>
          <c:dPt>
            <c:idx val="17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'2달차'!$C$329:$C$356</c:f>
              <c:numCache/>
            </c:numRef>
          </c:val>
          <c:smooth val="0"/>
        </c:ser>
        <c:axId val="450928536"/>
        <c:axId val="1682103788"/>
      </c:lineChart>
      <c:catAx>
        <c:axId val="450928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in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2103788"/>
      </c:catAx>
      <c:valAx>
        <c:axId val="16821037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092853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현재 월 소비시간 비율</a:t>
            </a:r>
          </a:p>
        </c:rich>
      </c:tx>
      <c:overlay val="0"/>
    </c:title>
    <c:plotArea>
      <c:layout>
        <c:manualLayout>
          <c:xMode val="edge"/>
          <c:yMode val="edge"/>
          <c:x val="0.07272796934865901"/>
          <c:y val="0.1911487758945386"/>
          <c:w val="0.7307550748697971"/>
          <c:h val="0.7372881355932204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chemeClr val="accent3"/>
              </a:solidFill>
            </c:spPr>
          </c:dPt>
          <c:dPt>
            <c:idx val="1"/>
            <c:spPr>
              <a:solidFill>
                <a:srgbClr val="8E7CC3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  <c:spPr>
              <a:solidFill>
                <a:srgbClr val="3C78D8"/>
              </a:solidFill>
            </c:spPr>
          </c:dPt>
          <c:dPt>
            <c:idx val="4"/>
            <c:explosion val="15"/>
            <c:spPr>
              <a:solidFill>
                <a:srgbClr val="FF6D6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('2달차'!$B$357,'2달차'!$C$357,'2달차'!$D$357,'2달차'!$E$357,'2달차'!$F$357)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8535427696128758"/>
          <c:y val="0.1101694915254237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수면 시간 그래프</a:t>
            </a:r>
          </a:p>
        </c:rich>
      </c:tx>
      <c:overlay val="0"/>
    </c:title>
    <c:plotArea>
      <c:layout>
        <c:manualLayout>
          <c:xMode val="edge"/>
          <c:yMode val="edge"/>
          <c:x val="0.04798739133693045"/>
          <c:y val="0.18035714285714285"/>
          <c:w val="0.9352260379196643"/>
          <c:h val="0.6303224687933425"/>
        </c:manualLayout>
      </c:layout>
      <c:lineChart>
        <c:varyColors val="0"/>
        <c:ser>
          <c:idx val="0"/>
          <c:order val="0"/>
          <c:tx>
            <c:v>수면 시간</c:v>
          </c:tx>
          <c:spPr>
            <a:ln cmpd="sng">
              <a:solidFill>
                <a:srgbClr val="F1C232"/>
              </a:solidFill>
            </a:ln>
          </c:spPr>
          <c:marker>
            <c:symbol val="circle"/>
            <c:size val="10"/>
            <c:spPr>
              <a:solidFill>
                <a:srgbClr val="F1C232"/>
              </a:solidFill>
              <a:ln cmpd="sng">
                <a:solidFill>
                  <a:srgbClr val="F1C232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'1달차'!$B$329:$B$356</c:f>
              <c:numCache/>
            </c:numRef>
          </c:val>
          <c:smooth val="0"/>
        </c:ser>
        <c:axId val="340212769"/>
        <c:axId val="1122717972"/>
      </c:lineChart>
      <c:catAx>
        <c:axId val="3402127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in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2717972"/>
      </c:catAx>
      <c:valAx>
        <c:axId val="11227179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021276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투자 시간 그래프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투자 시간</c:v>
          </c:tx>
          <c:spPr>
            <a:ln cmpd="sng">
              <a:solidFill>
                <a:srgbClr val="FF9191"/>
              </a:solidFill>
            </a:ln>
          </c:spPr>
          <c:marker>
            <c:symbol val="circle"/>
            <c:size val="10"/>
            <c:spPr>
              <a:solidFill>
                <a:srgbClr val="FF9191"/>
              </a:solidFill>
              <a:ln cmpd="sng">
                <a:solidFill>
                  <a:srgbClr val="FF919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'1달차'!$F$329:$F$356</c:f>
              <c:numCache/>
            </c:numRef>
          </c:val>
          <c:smooth val="0"/>
        </c:ser>
        <c:axId val="1127201407"/>
        <c:axId val="1384762870"/>
      </c:lineChart>
      <c:catAx>
        <c:axId val="1127201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in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4762870"/>
      </c:catAx>
      <c:valAx>
        <c:axId val="13847628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720140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투자시간 외 가용 시간 그래프</a:t>
            </a:r>
          </a:p>
        </c:rich>
      </c:tx>
      <c:overlay val="0"/>
    </c:title>
    <c:plotArea>
      <c:layout/>
      <c:lineChart>
        <c:ser>
          <c:idx val="0"/>
          <c:order val="0"/>
          <c:tx>
            <c:v>수동적 소비시간</c:v>
          </c:tx>
          <c:spPr>
            <a:ln cmpd="sng">
              <a:solidFill>
                <a:srgbClr val="6AA84F"/>
              </a:solidFill>
            </a:ln>
          </c:spPr>
          <c:marker>
            <c:symbol val="circle"/>
            <c:size val="10"/>
            <c:spPr>
              <a:solidFill>
                <a:srgbClr val="6AA84F"/>
              </a:solidFill>
              <a:ln cmpd="sng">
                <a:solidFill>
                  <a:srgbClr val="6AA84F"/>
                </a:solidFill>
              </a:ln>
            </c:spPr>
          </c:marker>
          <c:dPt>
            <c:idx val="17"/>
            <c:marker>
              <c:symbol val="none"/>
            </c:marker>
          </c:dPt>
          <c:trendline>
            <c:name/>
            <c:spPr>
              <a:ln w="19050">
                <a:solidFill>
                  <a:srgbClr val="6AA84F">
                    <a:alpha val="50196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'1달차'!$D$329:$D$356</c:f>
              <c:numCache/>
            </c:numRef>
          </c:val>
          <c:smooth val="0"/>
        </c:ser>
        <c:ser>
          <c:idx val="1"/>
          <c:order val="1"/>
          <c:tx>
            <c:v>주도적 사용시간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20"/>
            <c:marker>
              <c:symbol val="none"/>
            </c:marker>
          </c:dPt>
          <c:trendline>
            <c:name/>
            <c:spPr>
              <a:ln w="19050">
                <a:solidFill>
                  <a:srgbClr val="4285F4">
                    <a:alpha val="50196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'1달차'!$E$329:$E$356</c:f>
              <c:numCache/>
            </c:numRef>
          </c:val>
          <c:smooth val="0"/>
        </c:ser>
        <c:axId val="79710513"/>
        <c:axId val="611679481"/>
      </c:lineChart>
      <c:catAx>
        <c:axId val="797105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in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1679481"/>
      </c:catAx>
      <c:valAx>
        <c:axId val="6116794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710513"/>
      </c:valAx>
    </c:plotArea>
    <c:legend>
      <c:legendPos val="b"/>
      <c:legendEntry>
        <c:idx val="1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기초 생활 시간 그래프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기초 생활 시간</c:v>
          </c:tx>
          <c:spPr>
            <a:ln cmpd="sng">
              <a:solidFill>
                <a:srgbClr val="674EA7"/>
              </a:solidFill>
            </a:ln>
          </c:spPr>
          <c:marker>
            <c:symbol val="circle"/>
            <c:size val="10"/>
            <c:spPr>
              <a:solidFill>
                <a:srgbClr val="674EA7"/>
              </a:solidFill>
              <a:ln cmpd="sng">
                <a:solidFill>
                  <a:srgbClr val="674EA7"/>
                </a:solidFill>
              </a:ln>
            </c:spPr>
          </c:marker>
          <c:dPt>
            <c:idx val="17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'1달차'!$C$329:$C$356</c:f>
              <c:numCache/>
            </c:numRef>
          </c:val>
          <c:smooth val="0"/>
        </c:ser>
        <c:axId val="1191516163"/>
        <c:axId val="2000382934"/>
      </c:lineChart>
      <c:catAx>
        <c:axId val="11915161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in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0382934"/>
      </c:catAx>
      <c:valAx>
        <c:axId val="20003829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151616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현재 월 소비시간 비율</a:t>
            </a:r>
          </a:p>
        </c:rich>
      </c:tx>
      <c:overlay val="0"/>
    </c:title>
    <c:plotArea>
      <c:layout>
        <c:manualLayout>
          <c:xMode val="edge"/>
          <c:yMode val="edge"/>
          <c:x val="0.07272796934865901"/>
          <c:y val="0.1911487758945386"/>
          <c:w val="0.7307550748697971"/>
          <c:h val="0.7372881355932204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chemeClr val="accent3"/>
              </a:solidFill>
            </c:spPr>
          </c:dPt>
          <c:dPt>
            <c:idx val="1"/>
            <c:spPr>
              <a:solidFill>
                <a:srgbClr val="8E7CC3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  <c:spPr>
              <a:solidFill>
                <a:srgbClr val="3C78D8"/>
              </a:solidFill>
            </c:spPr>
          </c:dPt>
          <c:dPt>
            <c:idx val="4"/>
            <c:explosion val="15"/>
            <c:spPr>
              <a:solidFill>
                <a:srgbClr val="FF6D6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('1달차'!$B$357,'1달차'!$C$357,'1달차'!$D$357,'1달차'!$E$357,'1달차'!$F$357)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8535427696128758"/>
          <c:y val="0.1101694915254237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수면 시간 그래프</a:t>
            </a:r>
          </a:p>
        </c:rich>
      </c:tx>
      <c:overlay val="0"/>
    </c:title>
    <c:plotArea>
      <c:layout>
        <c:manualLayout>
          <c:xMode val="edge"/>
          <c:yMode val="edge"/>
          <c:x val="0.04798739133693045"/>
          <c:y val="0.18035714285714285"/>
          <c:w val="0.9352260379196643"/>
          <c:h val="0.6303224687933425"/>
        </c:manualLayout>
      </c:layout>
      <c:lineChart>
        <c:varyColors val="0"/>
        <c:ser>
          <c:idx val="0"/>
          <c:order val="0"/>
          <c:tx>
            <c:v>수면 시간</c:v>
          </c:tx>
          <c:spPr>
            <a:ln cmpd="sng">
              <a:solidFill>
                <a:srgbClr val="F1C232"/>
              </a:solidFill>
            </a:ln>
          </c:spPr>
          <c:marker>
            <c:symbol val="circle"/>
            <c:size val="10"/>
            <c:spPr>
              <a:solidFill>
                <a:srgbClr val="F1C232"/>
              </a:solidFill>
              <a:ln cmpd="sng">
                <a:solidFill>
                  <a:srgbClr val="F1C232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'복사용의 사본'!$B$329:$B$356</c:f>
              <c:numCache/>
            </c:numRef>
          </c:val>
          <c:smooth val="0"/>
        </c:ser>
        <c:axId val="838168351"/>
        <c:axId val="24332900"/>
      </c:lineChart>
      <c:catAx>
        <c:axId val="838168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in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332900"/>
      </c:catAx>
      <c:valAx>
        <c:axId val="243329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816835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투자 시간 그래프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투자 시간</c:v>
          </c:tx>
          <c:spPr>
            <a:ln cmpd="sng">
              <a:solidFill>
                <a:srgbClr val="FF9191"/>
              </a:solidFill>
            </a:ln>
          </c:spPr>
          <c:marker>
            <c:symbol val="circle"/>
            <c:size val="10"/>
            <c:spPr>
              <a:solidFill>
                <a:srgbClr val="FF9191"/>
              </a:solidFill>
              <a:ln cmpd="sng">
                <a:solidFill>
                  <a:srgbClr val="FF919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'복사용의 사본'!$F$329:$F$356</c:f>
              <c:numCache/>
            </c:numRef>
          </c:val>
          <c:smooth val="0"/>
        </c:ser>
        <c:axId val="1020607313"/>
        <c:axId val="2138530023"/>
      </c:lineChart>
      <c:catAx>
        <c:axId val="10206073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in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8530023"/>
      </c:catAx>
      <c:valAx>
        <c:axId val="21385300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060731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투자시간 외 가용 시간 그래프</a:t>
            </a:r>
          </a:p>
        </c:rich>
      </c:tx>
      <c:overlay val="0"/>
    </c:title>
    <c:plotArea>
      <c:layout/>
      <c:lineChart>
        <c:ser>
          <c:idx val="0"/>
          <c:order val="0"/>
          <c:tx>
            <c:v>수동적 소비시간</c:v>
          </c:tx>
          <c:spPr>
            <a:ln cmpd="sng">
              <a:solidFill>
                <a:srgbClr val="6AA84F"/>
              </a:solidFill>
            </a:ln>
          </c:spPr>
          <c:marker>
            <c:symbol val="circle"/>
            <c:size val="10"/>
            <c:spPr>
              <a:solidFill>
                <a:srgbClr val="6AA84F"/>
              </a:solidFill>
              <a:ln cmpd="sng">
                <a:solidFill>
                  <a:srgbClr val="6AA84F"/>
                </a:solidFill>
              </a:ln>
            </c:spPr>
          </c:marker>
          <c:dPt>
            <c:idx val="17"/>
            <c:marker>
              <c:symbol val="none"/>
            </c:marker>
          </c:dPt>
          <c:trendline>
            <c:name/>
            <c:spPr>
              <a:ln w="19050">
                <a:solidFill>
                  <a:srgbClr val="6AA84F">
                    <a:alpha val="50196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'복사용의 사본'!$D$329:$D$356</c:f>
              <c:numCache/>
            </c:numRef>
          </c:val>
          <c:smooth val="0"/>
        </c:ser>
        <c:ser>
          <c:idx val="1"/>
          <c:order val="1"/>
          <c:tx>
            <c:v>주도적 사용시간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20"/>
            <c:marker>
              <c:symbol val="none"/>
            </c:marker>
          </c:dPt>
          <c:trendline>
            <c:name/>
            <c:spPr>
              <a:ln w="19050">
                <a:solidFill>
                  <a:srgbClr val="4285F4">
                    <a:alpha val="50196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'복사용의 사본'!$E$329:$E$356</c:f>
              <c:numCache/>
            </c:numRef>
          </c:val>
          <c:smooth val="0"/>
        </c:ser>
        <c:axId val="633229391"/>
        <c:axId val="1133784263"/>
      </c:lineChart>
      <c:catAx>
        <c:axId val="633229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in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3784263"/>
      </c:catAx>
      <c:valAx>
        <c:axId val="11337842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3229391"/>
      </c:valAx>
    </c:plotArea>
    <c:legend>
      <c:legendPos val="b"/>
      <c:legendEntry>
        <c:idx val="1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기초 생활 시간 그래프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기초 생활 시간</c:v>
          </c:tx>
          <c:spPr>
            <a:ln cmpd="sng">
              <a:solidFill>
                <a:srgbClr val="674EA7"/>
              </a:solidFill>
            </a:ln>
          </c:spPr>
          <c:marker>
            <c:symbol val="circle"/>
            <c:size val="10"/>
            <c:spPr>
              <a:solidFill>
                <a:srgbClr val="674EA7"/>
              </a:solidFill>
              <a:ln cmpd="sng">
                <a:solidFill>
                  <a:srgbClr val="674EA7"/>
                </a:solidFill>
              </a:ln>
            </c:spPr>
          </c:marker>
          <c:dPt>
            <c:idx val="17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'복사용의 사본'!$C$329:$C$356</c:f>
              <c:numCache/>
            </c:numRef>
          </c:val>
          <c:smooth val="0"/>
        </c:ser>
        <c:axId val="1498290919"/>
        <c:axId val="1734860984"/>
      </c:lineChart>
      <c:catAx>
        <c:axId val="1498290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in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4860984"/>
      </c:catAx>
      <c:valAx>
        <c:axId val="17348609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829091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현재 월 소비시간 비율</a:t>
            </a:r>
          </a:p>
        </c:rich>
      </c:tx>
      <c:overlay val="0"/>
    </c:title>
    <c:plotArea>
      <c:layout>
        <c:manualLayout>
          <c:xMode val="edge"/>
          <c:yMode val="edge"/>
          <c:x val="0.07272796934865901"/>
          <c:y val="0.1911487758945386"/>
          <c:w val="0.7307550748697971"/>
          <c:h val="0.7372881355932204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chemeClr val="accent3"/>
              </a:solidFill>
            </c:spPr>
          </c:dPt>
          <c:dPt>
            <c:idx val="1"/>
            <c:spPr>
              <a:solidFill>
                <a:srgbClr val="8E7CC3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  <c:spPr>
              <a:solidFill>
                <a:srgbClr val="3C78D8"/>
              </a:solidFill>
            </c:spPr>
          </c:dPt>
          <c:dPt>
            <c:idx val="4"/>
            <c:explosion val="15"/>
            <c:spPr>
              <a:solidFill>
                <a:srgbClr val="FF6D6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('복사용의 사본'!$B$357,'복사용의 사본'!$C$357,'복사용의 사본'!$D$357,'복사용의 사본'!$E$357,'복사용의 사본'!$F$357)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8535427696128758"/>
          <c:y val="0.1101694915254237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<Relationship Id="rId5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239</xdr:row>
      <xdr:rowOff>200025</xdr:rowOff>
    </xdr:from>
    <xdr:ext cx="7943850" cy="2943225"/>
    <xdr:graphicFrame>
      <xdr:nvGraphicFramePr>
        <xdr:cNvPr id="1" name="Chart 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400050</xdr:colOff>
      <xdr:row>239</xdr:row>
      <xdr:rowOff>200025</xdr:rowOff>
    </xdr:from>
    <xdr:ext cx="7943850" cy="2943225"/>
    <xdr:graphicFrame>
      <xdr:nvGraphicFramePr>
        <xdr:cNvPr id="2" name="Chart 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295275</xdr:colOff>
      <xdr:row>265</xdr:row>
      <xdr:rowOff>38100</xdr:rowOff>
    </xdr:from>
    <xdr:ext cx="7943850" cy="2943225"/>
    <xdr:graphicFrame>
      <xdr:nvGraphicFramePr>
        <xdr:cNvPr id="3" name="Chart 3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18</xdr:col>
      <xdr:colOff>400050</xdr:colOff>
      <xdr:row>265</xdr:row>
      <xdr:rowOff>47625</xdr:rowOff>
    </xdr:from>
    <xdr:ext cx="7943850" cy="2943225"/>
    <xdr:graphicFrame>
      <xdr:nvGraphicFramePr>
        <xdr:cNvPr id="4" name="Chart 4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295275</xdr:colOff>
      <xdr:row>292</xdr:row>
      <xdr:rowOff>9525</xdr:rowOff>
    </xdr:from>
    <xdr:ext cx="4972050" cy="5057775"/>
    <xdr:graphicFrame>
      <xdr:nvGraphicFramePr>
        <xdr:cNvPr id="7" name="Chart 7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239</xdr:row>
      <xdr:rowOff>200025</xdr:rowOff>
    </xdr:from>
    <xdr:ext cx="7943850" cy="2943225"/>
    <xdr:graphicFrame>
      <xdr:nvGraphicFramePr>
        <xdr:cNvPr id="6" name="Chart 6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400050</xdr:colOff>
      <xdr:row>239</xdr:row>
      <xdr:rowOff>200025</xdr:rowOff>
    </xdr:from>
    <xdr:ext cx="7943850" cy="2943225"/>
    <xdr:graphicFrame>
      <xdr:nvGraphicFramePr>
        <xdr:cNvPr id="8" name="Chart 8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295275</xdr:colOff>
      <xdr:row>265</xdr:row>
      <xdr:rowOff>38100</xdr:rowOff>
    </xdr:from>
    <xdr:ext cx="7943850" cy="2943225"/>
    <xdr:graphicFrame>
      <xdr:nvGraphicFramePr>
        <xdr:cNvPr id="10" name="Chart 10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18</xdr:col>
      <xdr:colOff>400050</xdr:colOff>
      <xdr:row>265</xdr:row>
      <xdr:rowOff>47625</xdr:rowOff>
    </xdr:from>
    <xdr:ext cx="7943850" cy="2943225"/>
    <xdr:graphicFrame>
      <xdr:nvGraphicFramePr>
        <xdr:cNvPr id="12" name="Chart 1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295275</xdr:colOff>
      <xdr:row>292</xdr:row>
      <xdr:rowOff>9525</xdr:rowOff>
    </xdr:from>
    <xdr:ext cx="4972050" cy="5057775"/>
    <xdr:graphicFrame>
      <xdr:nvGraphicFramePr>
        <xdr:cNvPr id="14" name="Chart 14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239</xdr:row>
      <xdr:rowOff>200025</xdr:rowOff>
    </xdr:from>
    <xdr:ext cx="7943850" cy="2943225"/>
    <xdr:graphicFrame>
      <xdr:nvGraphicFramePr>
        <xdr:cNvPr id="5" name="Chart 5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400050</xdr:colOff>
      <xdr:row>239</xdr:row>
      <xdr:rowOff>200025</xdr:rowOff>
    </xdr:from>
    <xdr:ext cx="7943850" cy="2943225"/>
    <xdr:graphicFrame>
      <xdr:nvGraphicFramePr>
        <xdr:cNvPr id="9" name="Chart 9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295275</xdr:colOff>
      <xdr:row>265</xdr:row>
      <xdr:rowOff>38100</xdr:rowOff>
    </xdr:from>
    <xdr:ext cx="7943850" cy="2943225"/>
    <xdr:graphicFrame>
      <xdr:nvGraphicFramePr>
        <xdr:cNvPr id="11" name="Chart 1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18</xdr:col>
      <xdr:colOff>400050</xdr:colOff>
      <xdr:row>265</xdr:row>
      <xdr:rowOff>47625</xdr:rowOff>
    </xdr:from>
    <xdr:ext cx="7943850" cy="2943225"/>
    <xdr:graphicFrame>
      <xdr:nvGraphicFramePr>
        <xdr:cNvPr id="13" name="Chart 13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295275</xdr:colOff>
      <xdr:row>292</xdr:row>
      <xdr:rowOff>9525</xdr:rowOff>
    </xdr:from>
    <xdr:ext cx="4972050" cy="5057775"/>
    <xdr:graphicFrame>
      <xdr:nvGraphicFramePr>
        <xdr:cNvPr id="15" name="Chart 15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5" max="5" width="5.38"/>
  </cols>
  <sheetData>
    <row r="1">
      <c r="H1" s="1"/>
      <c r="I1" s="1"/>
      <c r="J1" s="1"/>
    </row>
    <row r="2">
      <c r="B2" s="2" t="s">
        <v>0</v>
      </c>
      <c r="C2" s="3"/>
      <c r="D2" s="3"/>
      <c r="E2" s="4"/>
      <c r="H2" s="5"/>
      <c r="I2" s="5"/>
      <c r="J2" s="5"/>
    </row>
    <row r="3">
      <c r="B3" s="6"/>
      <c r="C3" s="7"/>
      <c r="D3" s="7"/>
      <c r="E3" s="8"/>
    </row>
    <row r="4">
      <c r="B4" s="9" t="s">
        <v>1</v>
      </c>
      <c r="C4" s="10" t="s">
        <v>2</v>
      </c>
      <c r="D4" s="11"/>
      <c r="E4" s="8"/>
    </row>
    <row r="5">
      <c r="B5" s="6"/>
      <c r="C5" s="11"/>
      <c r="D5" s="11"/>
      <c r="E5" s="8"/>
    </row>
    <row r="6">
      <c r="B6" s="6"/>
      <c r="C6" s="7"/>
      <c r="D6" s="7"/>
      <c r="E6" s="8"/>
    </row>
    <row r="7">
      <c r="B7" s="9" t="s">
        <v>3</v>
      </c>
      <c r="C7" s="10" t="s">
        <v>4</v>
      </c>
      <c r="D7" s="11"/>
      <c r="E7" s="8"/>
    </row>
    <row r="8">
      <c r="B8" s="6"/>
      <c r="C8" s="11"/>
      <c r="D8" s="11"/>
      <c r="E8" s="8"/>
    </row>
    <row r="9">
      <c r="B9" s="6"/>
      <c r="C9" s="7"/>
      <c r="D9" s="7"/>
      <c r="E9" s="8"/>
    </row>
    <row r="10">
      <c r="B10" s="9" t="s">
        <v>5</v>
      </c>
      <c r="C10" s="10" t="s">
        <v>6</v>
      </c>
      <c r="D10" s="11"/>
      <c r="E10" s="8"/>
    </row>
    <row r="11">
      <c r="B11" s="6"/>
      <c r="C11" s="10"/>
      <c r="D11" s="11"/>
      <c r="E11" s="8"/>
    </row>
    <row r="12">
      <c r="B12" s="6"/>
      <c r="C12" s="7"/>
      <c r="D12" s="7"/>
      <c r="E12" s="8"/>
    </row>
    <row r="13">
      <c r="B13" s="9" t="s">
        <v>7</v>
      </c>
      <c r="C13" s="10" t="s">
        <v>8</v>
      </c>
      <c r="D13" s="10" t="s">
        <v>9</v>
      </c>
      <c r="E13" s="8"/>
    </row>
    <row r="14">
      <c r="B14" s="6"/>
      <c r="C14" s="10" t="s">
        <v>10</v>
      </c>
      <c r="D14" s="10" t="s">
        <v>11</v>
      </c>
      <c r="E14" s="8"/>
    </row>
    <row r="15">
      <c r="B15" s="6"/>
      <c r="C15" s="7"/>
      <c r="D15" s="7"/>
      <c r="E15" s="8"/>
    </row>
    <row r="16">
      <c r="B16" s="9" t="s">
        <v>12</v>
      </c>
      <c r="C16" s="10" t="s">
        <v>13</v>
      </c>
      <c r="D16" s="11"/>
      <c r="E16" s="8"/>
    </row>
    <row r="17">
      <c r="B17" s="6"/>
      <c r="D17" s="11"/>
      <c r="E17" s="8"/>
    </row>
    <row r="18">
      <c r="B18" s="12"/>
      <c r="C18" s="13"/>
      <c r="D18" s="13"/>
      <c r="E18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8" width="3.88"/>
    <col customWidth="1" min="9" max="9" width="6.38"/>
    <col customWidth="1" min="10" max="10" width="37.63"/>
    <col customWidth="1" min="11" max="17" width="3.88"/>
    <col customWidth="1" min="18" max="18" width="6.38"/>
    <col customWidth="1" min="19" max="19" width="37.63"/>
    <col customWidth="1" min="20" max="26" width="3.88"/>
    <col customWidth="1" min="27" max="27" width="6.38"/>
    <col customWidth="1" min="28" max="28" width="37.63"/>
    <col customWidth="1" min="29" max="35" width="3.88"/>
    <col customWidth="1" min="36" max="36" width="6.38"/>
  </cols>
  <sheetData>
    <row r="1">
      <c r="A1" s="15" t="s">
        <v>14</v>
      </c>
      <c r="B1" s="16"/>
      <c r="C1" s="16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8"/>
    </row>
    <row r="2">
      <c r="A2" s="19"/>
      <c r="J2" s="20"/>
      <c r="S2" s="21"/>
      <c r="AB2" s="21"/>
      <c r="AI2" s="22"/>
    </row>
    <row r="3">
      <c r="A3" s="23" t="s">
        <v>15</v>
      </c>
      <c r="B3" s="24" t="s">
        <v>16</v>
      </c>
      <c r="C3" s="25"/>
      <c r="D3" s="26">
        <v>1.0</v>
      </c>
      <c r="E3" s="27">
        <v>2.0</v>
      </c>
      <c r="F3" s="28">
        <v>3.0</v>
      </c>
      <c r="G3" s="29">
        <v>4.0</v>
      </c>
      <c r="H3" s="30">
        <v>5.0</v>
      </c>
      <c r="I3" s="5"/>
      <c r="J3" s="23" t="s">
        <v>17</v>
      </c>
      <c r="K3" s="24" t="s">
        <v>16</v>
      </c>
      <c r="L3" s="25"/>
      <c r="M3" s="26">
        <v>1.0</v>
      </c>
      <c r="N3" s="27">
        <v>2.0</v>
      </c>
      <c r="O3" s="28">
        <v>3.0</v>
      </c>
      <c r="P3" s="29">
        <v>4.0</v>
      </c>
      <c r="Q3" s="30">
        <v>5.0</v>
      </c>
      <c r="R3" s="5"/>
      <c r="S3" s="23" t="s">
        <v>18</v>
      </c>
      <c r="T3" s="24" t="s">
        <v>16</v>
      </c>
      <c r="U3" s="25"/>
      <c r="V3" s="26">
        <v>1.0</v>
      </c>
      <c r="W3" s="27">
        <v>2.0</v>
      </c>
      <c r="X3" s="28">
        <v>3.0</v>
      </c>
      <c r="Y3" s="29">
        <v>4.0</v>
      </c>
      <c r="Z3" s="30">
        <v>5.0</v>
      </c>
      <c r="AA3" s="5"/>
      <c r="AB3" s="23" t="s">
        <v>19</v>
      </c>
      <c r="AC3" s="24" t="s">
        <v>16</v>
      </c>
      <c r="AD3" s="25"/>
      <c r="AE3" s="26">
        <v>1.0</v>
      </c>
      <c r="AF3" s="27">
        <v>2.0</v>
      </c>
      <c r="AG3" s="28">
        <v>3.0</v>
      </c>
      <c r="AH3" s="29">
        <v>4.0</v>
      </c>
      <c r="AI3" s="30">
        <v>5.0</v>
      </c>
    </row>
    <row r="4">
      <c r="A4" s="31" t="s">
        <v>20</v>
      </c>
      <c r="B4" s="32" t="s">
        <v>21</v>
      </c>
      <c r="C4" s="32" t="s">
        <v>22</v>
      </c>
      <c r="D4" s="32" t="s">
        <v>23</v>
      </c>
      <c r="E4" s="32" t="s">
        <v>24</v>
      </c>
      <c r="F4" s="32" t="s">
        <v>25</v>
      </c>
      <c r="G4" s="32" t="s">
        <v>26</v>
      </c>
      <c r="H4" s="32" t="s">
        <v>27</v>
      </c>
      <c r="I4" s="5"/>
      <c r="J4" s="31" t="s">
        <v>20</v>
      </c>
      <c r="K4" s="32" t="s">
        <v>21</v>
      </c>
      <c r="L4" s="32" t="s">
        <v>22</v>
      </c>
      <c r="M4" s="32" t="s">
        <v>23</v>
      </c>
      <c r="N4" s="32" t="s">
        <v>24</v>
      </c>
      <c r="O4" s="32" t="s">
        <v>25</v>
      </c>
      <c r="P4" s="32" t="s">
        <v>26</v>
      </c>
      <c r="Q4" s="32" t="s">
        <v>27</v>
      </c>
      <c r="R4" s="5"/>
      <c r="S4" s="31" t="s">
        <v>20</v>
      </c>
      <c r="T4" s="32" t="s">
        <v>21</v>
      </c>
      <c r="U4" s="32" t="s">
        <v>22</v>
      </c>
      <c r="V4" s="32" t="s">
        <v>23</v>
      </c>
      <c r="W4" s="32" t="s">
        <v>24</v>
      </c>
      <c r="X4" s="32" t="s">
        <v>25</v>
      </c>
      <c r="Y4" s="32" t="s">
        <v>26</v>
      </c>
      <c r="Z4" s="32" t="s">
        <v>27</v>
      </c>
      <c r="AA4" s="5"/>
      <c r="AB4" s="31" t="s">
        <v>20</v>
      </c>
      <c r="AC4" s="32" t="s">
        <v>21</v>
      </c>
      <c r="AD4" s="32" t="s">
        <v>22</v>
      </c>
      <c r="AE4" s="32" t="s">
        <v>23</v>
      </c>
      <c r="AF4" s="32" t="s">
        <v>24</v>
      </c>
      <c r="AG4" s="32" t="s">
        <v>25</v>
      </c>
      <c r="AH4" s="32" t="s">
        <v>26</v>
      </c>
      <c r="AI4" s="32" t="s">
        <v>27</v>
      </c>
    </row>
    <row r="5">
      <c r="A5" s="33" t="s">
        <v>28</v>
      </c>
      <c r="B5" s="34" t="s">
        <v>21</v>
      </c>
      <c r="C5" s="27">
        <v>2.0</v>
      </c>
      <c r="D5" s="27">
        <v>2.0</v>
      </c>
      <c r="E5" s="27">
        <v>2.0</v>
      </c>
      <c r="F5" s="27">
        <v>2.0</v>
      </c>
      <c r="G5" s="27">
        <v>2.0</v>
      </c>
      <c r="H5" s="27">
        <v>2.0</v>
      </c>
      <c r="I5" s="5"/>
      <c r="J5" s="33" t="s">
        <v>28</v>
      </c>
      <c r="K5" s="34" t="s">
        <v>21</v>
      </c>
      <c r="L5" s="26">
        <v>1.0</v>
      </c>
      <c r="M5" s="26">
        <v>1.0</v>
      </c>
      <c r="N5" s="26">
        <v>1.0</v>
      </c>
      <c r="O5" s="26">
        <v>1.0</v>
      </c>
      <c r="P5" s="26">
        <v>1.0</v>
      </c>
      <c r="Q5" s="26">
        <v>1.0</v>
      </c>
      <c r="R5" s="5"/>
      <c r="S5" s="35" t="s">
        <v>28</v>
      </c>
      <c r="T5" s="34" t="s">
        <v>21</v>
      </c>
      <c r="U5" s="26">
        <v>1.0</v>
      </c>
      <c r="V5" s="26">
        <v>1.0</v>
      </c>
      <c r="W5" s="26">
        <v>1.0</v>
      </c>
      <c r="X5" s="26">
        <v>1.0</v>
      </c>
      <c r="Y5" s="26">
        <v>1.0</v>
      </c>
      <c r="Z5" s="26">
        <v>1.0</v>
      </c>
      <c r="AA5" s="5"/>
      <c r="AB5" s="35" t="s">
        <v>28</v>
      </c>
      <c r="AC5" s="34" t="s">
        <v>21</v>
      </c>
      <c r="AD5" s="29">
        <v>4.0</v>
      </c>
      <c r="AE5" s="29">
        <v>4.0</v>
      </c>
      <c r="AF5" s="29">
        <v>4.0</v>
      </c>
      <c r="AG5" s="29">
        <v>4.0</v>
      </c>
      <c r="AH5" s="29">
        <v>4.0</v>
      </c>
      <c r="AI5" s="29">
        <v>4.0</v>
      </c>
    </row>
    <row r="6">
      <c r="A6" s="36" t="s">
        <v>29</v>
      </c>
      <c r="B6" s="34" t="s">
        <v>30</v>
      </c>
      <c r="C6" s="28">
        <v>3.0</v>
      </c>
      <c r="D6" s="28">
        <v>3.0</v>
      </c>
      <c r="E6" s="28">
        <v>3.0</v>
      </c>
      <c r="F6" s="28">
        <v>3.0</v>
      </c>
      <c r="G6" s="28">
        <v>3.0</v>
      </c>
      <c r="H6" s="28">
        <v>3.0</v>
      </c>
      <c r="I6" s="37" t="s">
        <v>31</v>
      </c>
      <c r="J6" s="36"/>
      <c r="K6" s="34" t="s">
        <v>30</v>
      </c>
      <c r="L6" s="26">
        <v>1.0</v>
      </c>
      <c r="M6" s="26">
        <v>1.0</v>
      </c>
      <c r="N6" s="26">
        <v>1.0</v>
      </c>
      <c r="O6" s="26">
        <v>1.0</v>
      </c>
      <c r="P6" s="26">
        <v>1.0</v>
      </c>
      <c r="Q6" s="26">
        <v>1.0</v>
      </c>
      <c r="R6" s="5"/>
      <c r="S6" s="36" t="s">
        <v>32</v>
      </c>
      <c r="T6" s="34" t="s">
        <v>30</v>
      </c>
      <c r="U6" s="26">
        <v>1.0</v>
      </c>
      <c r="V6" s="26">
        <v>1.0</v>
      </c>
      <c r="W6" s="26">
        <v>1.0</v>
      </c>
      <c r="X6" s="26">
        <v>1.0</v>
      </c>
      <c r="Y6" s="26">
        <v>1.0</v>
      </c>
      <c r="Z6" s="26">
        <v>1.0</v>
      </c>
      <c r="AA6" s="5"/>
      <c r="AB6" s="38"/>
      <c r="AC6" s="34" t="s">
        <v>30</v>
      </c>
      <c r="AD6" s="29">
        <v>4.0</v>
      </c>
      <c r="AE6" s="29">
        <v>4.0</v>
      </c>
      <c r="AF6" s="29">
        <v>4.0</v>
      </c>
      <c r="AG6" s="29">
        <v>4.0</v>
      </c>
      <c r="AH6" s="29">
        <v>4.0</v>
      </c>
      <c r="AI6" s="29">
        <v>4.0</v>
      </c>
    </row>
    <row r="7">
      <c r="A7" s="39"/>
      <c r="B7" s="40" t="s">
        <v>33</v>
      </c>
      <c r="C7" s="28">
        <v>3.0</v>
      </c>
      <c r="D7" s="28">
        <v>3.0</v>
      </c>
      <c r="E7" s="28">
        <v>3.0</v>
      </c>
      <c r="F7" s="28">
        <v>3.0</v>
      </c>
      <c r="G7" s="28">
        <v>3.0</v>
      </c>
      <c r="H7" s="28">
        <v>3.0</v>
      </c>
      <c r="I7" s="5"/>
      <c r="J7" s="39"/>
      <c r="K7" s="40" t="s">
        <v>33</v>
      </c>
      <c r="L7" s="26">
        <v>1.0</v>
      </c>
      <c r="M7" s="26">
        <v>1.0</v>
      </c>
      <c r="N7" s="26">
        <v>1.0</v>
      </c>
      <c r="O7" s="26">
        <v>1.0</v>
      </c>
      <c r="P7" s="26">
        <v>1.0</v>
      </c>
      <c r="Q7" s="26">
        <v>1.0</v>
      </c>
      <c r="R7" s="5"/>
      <c r="S7" s="39"/>
      <c r="T7" s="40" t="s">
        <v>33</v>
      </c>
      <c r="U7" s="26">
        <v>1.0</v>
      </c>
      <c r="V7" s="26">
        <v>1.0</v>
      </c>
      <c r="W7" s="26">
        <v>1.0</v>
      </c>
      <c r="X7" s="26">
        <v>1.0</v>
      </c>
      <c r="Y7" s="26">
        <v>1.0</v>
      </c>
      <c r="Z7" s="26">
        <v>1.0</v>
      </c>
      <c r="AA7" s="5"/>
      <c r="AB7" s="39"/>
      <c r="AC7" s="40" t="s">
        <v>33</v>
      </c>
      <c r="AD7" s="29">
        <v>4.0</v>
      </c>
      <c r="AE7" s="29">
        <v>4.0</v>
      </c>
      <c r="AF7" s="29">
        <v>4.0</v>
      </c>
      <c r="AG7" s="29">
        <v>4.0</v>
      </c>
      <c r="AH7" s="29">
        <v>4.0</v>
      </c>
      <c r="AI7" s="29">
        <v>4.0</v>
      </c>
    </row>
    <row r="8">
      <c r="A8" s="41">
        <f>COUNTIF(C5:H28,"=1")/6</f>
        <v>4.5</v>
      </c>
      <c r="B8" s="40" t="s">
        <v>34</v>
      </c>
      <c r="C8" s="28">
        <v>3.0</v>
      </c>
      <c r="D8" s="28">
        <v>3.0</v>
      </c>
      <c r="E8" s="26">
        <v>1.0</v>
      </c>
      <c r="F8" s="26">
        <v>1.0</v>
      </c>
      <c r="G8" s="26">
        <v>1.0</v>
      </c>
      <c r="H8" s="26">
        <v>1.0</v>
      </c>
      <c r="I8" s="5"/>
      <c r="J8" s="41">
        <f>COUNTIF(L5:Q28,"=1")/6</f>
        <v>11.5</v>
      </c>
      <c r="K8" s="40" t="s">
        <v>34</v>
      </c>
      <c r="L8" s="26">
        <v>1.0</v>
      </c>
      <c r="M8" s="26">
        <v>1.0</v>
      </c>
      <c r="N8" s="26">
        <v>1.0</v>
      </c>
      <c r="O8" s="26">
        <v>1.0</v>
      </c>
      <c r="P8" s="26">
        <v>1.0</v>
      </c>
      <c r="Q8" s="26">
        <v>1.0</v>
      </c>
      <c r="R8" s="5"/>
      <c r="S8" s="41">
        <f>COUNTIF(U5:Z28,"=1")/6</f>
        <v>12</v>
      </c>
      <c r="T8" s="40" t="s">
        <v>34</v>
      </c>
      <c r="U8" s="26">
        <v>1.0</v>
      </c>
      <c r="V8" s="26">
        <v>1.0</v>
      </c>
      <c r="W8" s="26">
        <v>1.0</v>
      </c>
      <c r="X8" s="26">
        <v>1.0</v>
      </c>
      <c r="Y8" s="26">
        <v>1.0</v>
      </c>
      <c r="Z8" s="26">
        <v>1.0</v>
      </c>
      <c r="AA8" s="5"/>
      <c r="AB8" s="41">
        <f>COUNTIF(AD5:AI28,"=1")/6</f>
        <v>9</v>
      </c>
      <c r="AC8" s="40" t="s">
        <v>34</v>
      </c>
      <c r="AD8" s="29">
        <v>4.0</v>
      </c>
      <c r="AE8" s="29">
        <v>4.0</v>
      </c>
      <c r="AF8" s="29">
        <v>4.0</v>
      </c>
      <c r="AG8" s="29">
        <v>4.0</v>
      </c>
      <c r="AH8" s="29">
        <v>4.0</v>
      </c>
      <c r="AI8" s="29">
        <v>4.0</v>
      </c>
    </row>
    <row r="9">
      <c r="A9" s="42" t="s">
        <v>35</v>
      </c>
      <c r="B9" s="40" t="s">
        <v>36</v>
      </c>
      <c r="C9" s="26">
        <v>1.0</v>
      </c>
      <c r="D9" s="26">
        <v>1.0</v>
      </c>
      <c r="E9" s="26">
        <v>1.0</v>
      </c>
      <c r="F9" s="26">
        <v>1.0</v>
      </c>
      <c r="G9" s="26">
        <v>1.0</v>
      </c>
      <c r="H9" s="26">
        <v>1.0</v>
      </c>
      <c r="I9" s="5"/>
      <c r="J9" s="42" t="s">
        <v>35</v>
      </c>
      <c r="K9" s="40" t="s">
        <v>36</v>
      </c>
      <c r="L9" s="26">
        <v>1.0</v>
      </c>
      <c r="M9" s="26">
        <v>1.0</v>
      </c>
      <c r="N9" s="26">
        <v>1.0</v>
      </c>
      <c r="O9" s="26">
        <v>1.0</v>
      </c>
      <c r="P9" s="26">
        <v>1.0</v>
      </c>
      <c r="Q9" s="26">
        <v>1.0</v>
      </c>
      <c r="R9" s="5"/>
      <c r="S9" s="42" t="s">
        <v>35</v>
      </c>
      <c r="T9" s="40" t="s">
        <v>36</v>
      </c>
      <c r="U9" s="26">
        <v>1.0</v>
      </c>
      <c r="V9" s="26">
        <v>1.0</v>
      </c>
      <c r="W9" s="26">
        <v>1.0</v>
      </c>
      <c r="X9" s="26">
        <v>1.0</v>
      </c>
      <c r="Y9" s="26">
        <v>1.0</v>
      </c>
      <c r="Z9" s="26">
        <v>1.0</v>
      </c>
      <c r="AA9" s="5"/>
      <c r="AB9" s="42" t="s">
        <v>35</v>
      </c>
      <c r="AC9" s="40" t="s">
        <v>36</v>
      </c>
      <c r="AD9" s="29">
        <v>4.0</v>
      </c>
      <c r="AE9" s="29">
        <v>4.0</v>
      </c>
      <c r="AF9" s="29">
        <v>4.0</v>
      </c>
      <c r="AG9" s="29">
        <v>4.0</v>
      </c>
      <c r="AH9" s="29">
        <v>4.0</v>
      </c>
      <c r="AI9" s="29">
        <v>4.0</v>
      </c>
    </row>
    <row r="10">
      <c r="A10" s="36" t="s">
        <v>37</v>
      </c>
      <c r="B10" s="34" t="s">
        <v>38</v>
      </c>
      <c r="C10" s="26">
        <v>1.0</v>
      </c>
      <c r="D10" s="26">
        <v>1.0</v>
      </c>
      <c r="E10" s="26">
        <v>1.0</v>
      </c>
      <c r="F10" s="26">
        <v>1.0</v>
      </c>
      <c r="G10" s="26">
        <v>1.0</v>
      </c>
      <c r="H10" s="26">
        <v>1.0</v>
      </c>
      <c r="I10" s="5"/>
      <c r="J10" s="36" t="s">
        <v>39</v>
      </c>
      <c r="K10" s="34" t="s">
        <v>38</v>
      </c>
      <c r="L10" s="26">
        <v>1.0</v>
      </c>
      <c r="M10" s="26">
        <v>1.0</v>
      </c>
      <c r="N10" s="26">
        <v>1.0</v>
      </c>
      <c r="O10" s="26">
        <v>1.0</v>
      </c>
      <c r="P10" s="26">
        <v>1.0</v>
      </c>
      <c r="Q10" s="26">
        <v>1.0</v>
      </c>
      <c r="R10" s="5"/>
      <c r="S10" s="36" t="s">
        <v>40</v>
      </c>
      <c r="T10" s="34" t="s">
        <v>38</v>
      </c>
      <c r="U10" s="26">
        <v>1.0</v>
      </c>
      <c r="V10" s="26">
        <v>1.0</v>
      </c>
      <c r="W10" s="26">
        <v>1.0</v>
      </c>
      <c r="X10" s="26">
        <v>1.0</v>
      </c>
      <c r="Y10" s="26">
        <v>1.0</v>
      </c>
      <c r="Z10" s="26">
        <v>1.0</v>
      </c>
      <c r="AA10" s="5"/>
      <c r="AB10" s="36" t="s">
        <v>41</v>
      </c>
      <c r="AC10" s="34" t="s">
        <v>38</v>
      </c>
      <c r="AD10" s="29">
        <v>4.0</v>
      </c>
      <c r="AE10" s="29">
        <v>4.0</v>
      </c>
      <c r="AF10" s="29">
        <v>4.0</v>
      </c>
      <c r="AG10" s="27">
        <v>2.0</v>
      </c>
      <c r="AH10" s="27">
        <v>2.0</v>
      </c>
      <c r="AI10" s="27">
        <v>2.0</v>
      </c>
    </row>
    <row r="11">
      <c r="A11" s="43"/>
      <c r="B11" s="40" t="s">
        <v>42</v>
      </c>
      <c r="C11" s="26">
        <v>1.0</v>
      </c>
      <c r="D11" s="26">
        <v>1.0</v>
      </c>
      <c r="E11" s="26">
        <v>1.0</v>
      </c>
      <c r="F11" s="26">
        <v>1.0</v>
      </c>
      <c r="G11" s="26">
        <v>1.0</v>
      </c>
      <c r="H11" s="26">
        <v>1.0</v>
      </c>
      <c r="I11" s="5"/>
      <c r="J11" s="43"/>
      <c r="K11" s="40" t="s">
        <v>42</v>
      </c>
      <c r="L11" s="26">
        <v>1.0</v>
      </c>
      <c r="M11" s="26">
        <v>1.0</v>
      </c>
      <c r="N11" s="26">
        <v>1.0</v>
      </c>
      <c r="O11" s="26">
        <v>1.0</v>
      </c>
      <c r="P11" s="26">
        <v>1.0</v>
      </c>
      <c r="Q11" s="26">
        <v>1.0</v>
      </c>
      <c r="R11" s="5"/>
      <c r="S11" s="39"/>
      <c r="T11" s="40" t="s">
        <v>42</v>
      </c>
      <c r="U11" s="26">
        <v>1.0</v>
      </c>
      <c r="V11" s="26">
        <v>1.0</v>
      </c>
      <c r="W11" s="26">
        <v>1.0</v>
      </c>
      <c r="X11" s="26">
        <v>1.0</v>
      </c>
      <c r="Y11" s="26">
        <v>1.0</v>
      </c>
      <c r="Z11" s="26">
        <v>1.0</v>
      </c>
      <c r="AA11" s="5"/>
      <c r="AB11" s="39"/>
      <c r="AC11" s="40" t="s">
        <v>42</v>
      </c>
      <c r="AD11" s="26">
        <v>1.0</v>
      </c>
      <c r="AE11" s="26">
        <v>1.0</v>
      </c>
      <c r="AF11" s="26">
        <v>1.0</v>
      </c>
      <c r="AG11" s="26">
        <v>1.0</v>
      </c>
      <c r="AH11" s="26">
        <v>1.0</v>
      </c>
      <c r="AI11" s="26">
        <v>1.0</v>
      </c>
    </row>
    <row r="12">
      <c r="A12" s="41">
        <f>COUNTIF(C5:H28,"=2")/6</f>
        <v>1.5</v>
      </c>
      <c r="B12" s="40" t="s">
        <v>43</v>
      </c>
      <c r="C12" s="29">
        <v>4.0</v>
      </c>
      <c r="D12" s="29">
        <v>4.0</v>
      </c>
      <c r="E12" s="29">
        <v>4.0</v>
      </c>
      <c r="F12" s="29">
        <v>4.0</v>
      </c>
      <c r="G12" s="29">
        <v>4.0</v>
      </c>
      <c r="H12" s="29">
        <v>4.0</v>
      </c>
      <c r="I12" s="5"/>
      <c r="J12" s="41">
        <f>COUNTIF(L5:Q28,"=2")/6</f>
        <v>1.833333333</v>
      </c>
      <c r="K12" s="40" t="s">
        <v>43</v>
      </c>
      <c r="L12" s="26">
        <v>1.0</v>
      </c>
      <c r="M12" s="26">
        <v>1.0</v>
      </c>
      <c r="N12" s="26">
        <v>1.0</v>
      </c>
      <c r="O12" s="26">
        <v>1.0</v>
      </c>
      <c r="P12" s="26">
        <v>1.0</v>
      </c>
      <c r="Q12" s="26">
        <v>1.0</v>
      </c>
      <c r="R12" s="5"/>
      <c r="S12" s="41">
        <f>COUNTIF(U5:Z28,"=2")/6</f>
        <v>1.833333333</v>
      </c>
      <c r="T12" s="40" t="s">
        <v>43</v>
      </c>
      <c r="U12" s="26">
        <v>1.0</v>
      </c>
      <c r="V12" s="26">
        <v>1.0</v>
      </c>
      <c r="W12" s="26">
        <v>1.0</v>
      </c>
      <c r="X12" s="26">
        <v>1.0</v>
      </c>
      <c r="Y12" s="26">
        <v>1.0</v>
      </c>
      <c r="Z12" s="26">
        <v>1.0</v>
      </c>
      <c r="AA12" s="5"/>
      <c r="AB12" s="41">
        <f>COUNTIF(AD5:AI28,"=2")/6</f>
        <v>1.166666667</v>
      </c>
      <c r="AC12" s="40" t="s">
        <v>43</v>
      </c>
      <c r="AD12" s="26">
        <v>1.0</v>
      </c>
      <c r="AE12" s="26">
        <v>1.0</v>
      </c>
      <c r="AF12" s="26">
        <v>1.0</v>
      </c>
      <c r="AG12" s="26">
        <v>1.0</v>
      </c>
      <c r="AH12" s="26">
        <v>1.0</v>
      </c>
      <c r="AI12" s="26">
        <v>1.0</v>
      </c>
    </row>
    <row r="13">
      <c r="A13" s="44" t="s">
        <v>44</v>
      </c>
      <c r="B13" s="40" t="s">
        <v>45</v>
      </c>
      <c r="C13" s="29">
        <v>4.0</v>
      </c>
      <c r="D13" s="29">
        <v>4.0</v>
      </c>
      <c r="E13" s="29">
        <v>4.0</v>
      </c>
      <c r="F13" s="29">
        <v>4.0</v>
      </c>
      <c r="G13" s="29">
        <v>4.0</v>
      </c>
      <c r="H13" s="29">
        <v>4.0</v>
      </c>
      <c r="I13" s="5"/>
      <c r="J13" s="44" t="s">
        <v>44</v>
      </c>
      <c r="K13" s="40" t="s">
        <v>45</v>
      </c>
      <c r="L13" s="26">
        <v>1.0</v>
      </c>
      <c r="M13" s="26">
        <v>1.0</v>
      </c>
      <c r="N13" s="26">
        <v>1.0</v>
      </c>
      <c r="O13" s="26">
        <v>1.0</v>
      </c>
      <c r="P13" s="26">
        <v>1.0</v>
      </c>
      <c r="Q13" s="26">
        <v>1.0</v>
      </c>
      <c r="R13" s="5"/>
      <c r="S13" s="44" t="s">
        <v>44</v>
      </c>
      <c r="T13" s="40" t="s">
        <v>45</v>
      </c>
      <c r="U13" s="26">
        <v>1.0</v>
      </c>
      <c r="V13" s="26">
        <v>1.0</v>
      </c>
      <c r="W13" s="26">
        <v>1.0</v>
      </c>
      <c r="X13" s="26">
        <v>1.0</v>
      </c>
      <c r="Y13" s="26">
        <v>1.0</v>
      </c>
      <c r="Z13" s="26">
        <v>1.0</v>
      </c>
      <c r="AA13" s="5"/>
      <c r="AB13" s="44" t="s">
        <v>44</v>
      </c>
      <c r="AC13" s="40" t="s">
        <v>45</v>
      </c>
      <c r="AD13" s="26">
        <v>1.0</v>
      </c>
      <c r="AE13" s="26">
        <v>1.0</v>
      </c>
      <c r="AF13" s="26">
        <v>1.0</v>
      </c>
      <c r="AG13" s="26">
        <v>1.0</v>
      </c>
      <c r="AH13" s="26">
        <v>1.0</v>
      </c>
      <c r="AI13" s="26">
        <v>1.0</v>
      </c>
    </row>
    <row r="14">
      <c r="A14" s="36" t="s">
        <v>46</v>
      </c>
      <c r="B14" s="34" t="s">
        <v>47</v>
      </c>
      <c r="C14" s="29">
        <v>4.0</v>
      </c>
      <c r="D14" s="29">
        <v>4.0</v>
      </c>
      <c r="E14" s="29">
        <v>4.0</v>
      </c>
      <c r="F14" s="29">
        <v>4.0</v>
      </c>
      <c r="G14" s="29">
        <v>4.0</v>
      </c>
      <c r="H14" s="29">
        <v>4.0</v>
      </c>
      <c r="I14" s="5"/>
      <c r="J14" s="36"/>
      <c r="K14" s="34" t="s">
        <v>47</v>
      </c>
      <c r="L14" s="26">
        <v>1.0</v>
      </c>
      <c r="M14" s="26">
        <v>1.0</v>
      </c>
      <c r="N14" s="26">
        <v>1.0</v>
      </c>
      <c r="O14" s="26">
        <v>1.0</v>
      </c>
      <c r="P14" s="26">
        <v>1.0</v>
      </c>
      <c r="Q14" s="26">
        <v>1.0</v>
      </c>
      <c r="R14" s="5"/>
      <c r="S14" s="36" t="s">
        <v>48</v>
      </c>
      <c r="T14" s="34" t="s">
        <v>47</v>
      </c>
      <c r="U14" s="26">
        <v>1.0</v>
      </c>
      <c r="V14" s="26">
        <v>1.0</v>
      </c>
      <c r="W14" s="26">
        <v>1.0</v>
      </c>
      <c r="X14" s="26">
        <v>1.0</v>
      </c>
      <c r="Y14" s="26">
        <v>1.0</v>
      </c>
      <c r="Z14" s="26">
        <v>1.0</v>
      </c>
      <c r="AA14" s="5"/>
      <c r="AB14" s="38"/>
      <c r="AC14" s="34" t="s">
        <v>47</v>
      </c>
      <c r="AD14" s="26">
        <v>1.0</v>
      </c>
      <c r="AE14" s="26">
        <v>1.0</v>
      </c>
      <c r="AF14" s="26">
        <v>1.0</v>
      </c>
      <c r="AG14" s="26">
        <v>1.0</v>
      </c>
      <c r="AH14" s="26">
        <v>1.0</v>
      </c>
      <c r="AI14" s="26">
        <v>1.0</v>
      </c>
    </row>
    <row r="15">
      <c r="A15" s="43" t="s">
        <v>49</v>
      </c>
      <c r="B15" s="40" t="s">
        <v>22</v>
      </c>
      <c r="C15" s="29">
        <v>4.0</v>
      </c>
      <c r="D15" s="29">
        <v>4.0</v>
      </c>
      <c r="E15" s="29">
        <v>4.0</v>
      </c>
      <c r="F15" s="28">
        <v>3.0</v>
      </c>
      <c r="G15" s="28">
        <v>3.0</v>
      </c>
      <c r="H15" s="28">
        <v>3.0</v>
      </c>
      <c r="I15" s="5"/>
      <c r="J15" s="43"/>
      <c r="K15" s="40" t="s">
        <v>22</v>
      </c>
      <c r="L15" s="26">
        <v>1.0</v>
      </c>
      <c r="M15" s="26">
        <v>1.0</v>
      </c>
      <c r="N15" s="26">
        <v>1.0</v>
      </c>
      <c r="O15" s="26">
        <v>1.0</v>
      </c>
      <c r="P15" s="26">
        <v>1.0</v>
      </c>
      <c r="Q15" s="26">
        <v>1.0</v>
      </c>
      <c r="R15" s="5"/>
      <c r="S15" s="39"/>
      <c r="T15" s="40" t="s">
        <v>22</v>
      </c>
      <c r="U15" s="26">
        <v>1.0</v>
      </c>
      <c r="V15" s="26">
        <v>1.0</v>
      </c>
      <c r="W15" s="26">
        <v>1.0</v>
      </c>
      <c r="X15" s="26">
        <v>1.0</v>
      </c>
      <c r="Y15" s="26">
        <v>1.0</v>
      </c>
      <c r="Z15" s="26">
        <v>1.0</v>
      </c>
      <c r="AA15" s="5"/>
      <c r="AB15" s="39"/>
      <c r="AC15" s="40" t="s">
        <v>22</v>
      </c>
      <c r="AD15" s="26">
        <v>1.0</v>
      </c>
      <c r="AE15" s="26">
        <v>1.0</v>
      </c>
      <c r="AF15" s="26">
        <v>1.0</v>
      </c>
      <c r="AG15" s="26">
        <v>1.0</v>
      </c>
      <c r="AH15" s="26">
        <v>1.0</v>
      </c>
      <c r="AI15" s="26">
        <v>1.0</v>
      </c>
    </row>
    <row r="16">
      <c r="A16" s="41">
        <f>COUNTIF(C5:H28,"=3")/6</f>
        <v>6.833333333</v>
      </c>
      <c r="B16" s="40" t="s">
        <v>50</v>
      </c>
      <c r="C16" s="28">
        <v>3.0</v>
      </c>
      <c r="D16" s="28">
        <v>3.0</v>
      </c>
      <c r="E16" s="28">
        <v>3.0</v>
      </c>
      <c r="F16" s="28">
        <v>3.0</v>
      </c>
      <c r="G16" s="28">
        <v>3.0</v>
      </c>
      <c r="H16" s="28">
        <v>3.0</v>
      </c>
      <c r="I16" s="5"/>
      <c r="J16" s="41">
        <f>COUNTIF(L5:Q28,"=3")/6</f>
        <v>1.166666667</v>
      </c>
      <c r="K16" s="40" t="s">
        <v>50</v>
      </c>
      <c r="L16" s="26">
        <v>1.0</v>
      </c>
      <c r="M16" s="26">
        <v>1.0</v>
      </c>
      <c r="N16" s="26">
        <v>1.0</v>
      </c>
      <c r="O16" s="27">
        <v>2.0</v>
      </c>
      <c r="P16" s="27">
        <v>2.0</v>
      </c>
      <c r="Q16" s="27">
        <v>2.0</v>
      </c>
      <c r="R16" s="5"/>
      <c r="S16" s="41">
        <f>COUNTIF(U5:Z28,"=3")/6</f>
        <v>2.5</v>
      </c>
      <c r="T16" s="40" t="s">
        <v>50</v>
      </c>
      <c r="U16" s="26">
        <v>1.0</v>
      </c>
      <c r="V16" s="26">
        <v>1.0</v>
      </c>
      <c r="W16" s="26">
        <v>1.0</v>
      </c>
      <c r="X16" s="26">
        <v>1.0</v>
      </c>
      <c r="Y16" s="26">
        <v>1.0</v>
      </c>
      <c r="Z16" s="26">
        <v>1.0</v>
      </c>
      <c r="AA16" s="5"/>
      <c r="AB16" s="41">
        <f>COUNTIF(AD5:AI28,"=3")/6</f>
        <v>1</v>
      </c>
      <c r="AC16" s="40" t="s">
        <v>50</v>
      </c>
      <c r="AD16" s="26">
        <v>1.0</v>
      </c>
      <c r="AE16" s="26">
        <v>1.0</v>
      </c>
      <c r="AF16" s="26">
        <v>1.0</v>
      </c>
      <c r="AG16" s="26">
        <v>1.0</v>
      </c>
      <c r="AH16" s="26">
        <v>1.0</v>
      </c>
      <c r="AI16" s="26">
        <v>1.0</v>
      </c>
    </row>
    <row r="17">
      <c r="A17" s="45" t="s">
        <v>51</v>
      </c>
      <c r="B17" s="40" t="s">
        <v>52</v>
      </c>
      <c r="C17" s="28">
        <v>3.0</v>
      </c>
      <c r="D17" s="29">
        <v>4.0</v>
      </c>
      <c r="E17" s="29">
        <v>4.0</v>
      </c>
      <c r="F17" s="29">
        <v>4.0</v>
      </c>
      <c r="G17" s="29">
        <v>4.0</v>
      </c>
      <c r="H17" s="29">
        <v>4.0</v>
      </c>
      <c r="I17" s="5"/>
      <c r="J17" s="45" t="s">
        <v>51</v>
      </c>
      <c r="K17" s="40" t="s">
        <v>52</v>
      </c>
      <c r="L17" s="27">
        <v>2.0</v>
      </c>
      <c r="M17" s="27">
        <v>2.0</v>
      </c>
      <c r="N17" s="27">
        <v>2.0</v>
      </c>
      <c r="O17" s="28">
        <v>3.0</v>
      </c>
      <c r="P17" s="28">
        <v>3.0</v>
      </c>
      <c r="Q17" s="28">
        <v>3.0</v>
      </c>
      <c r="R17" s="5"/>
      <c r="S17" s="45" t="s">
        <v>51</v>
      </c>
      <c r="T17" s="40" t="s">
        <v>52</v>
      </c>
      <c r="U17" s="27">
        <v>2.0</v>
      </c>
      <c r="V17" s="27">
        <v>2.0</v>
      </c>
      <c r="W17" s="27">
        <v>2.0</v>
      </c>
      <c r="X17" s="27">
        <v>2.0</v>
      </c>
      <c r="Y17" s="28">
        <v>3.0</v>
      </c>
      <c r="Z17" s="28">
        <v>3.0</v>
      </c>
      <c r="AA17" s="5"/>
      <c r="AB17" s="45" t="s">
        <v>51</v>
      </c>
      <c r="AC17" s="40" t="s">
        <v>52</v>
      </c>
      <c r="AD17" s="26">
        <v>1.0</v>
      </c>
      <c r="AE17" s="26">
        <v>1.0</v>
      </c>
      <c r="AF17" s="26">
        <v>1.0</v>
      </c>
      <c r="AG17" s="26">
        <v>1.0</v>
      </c>
      <c r="AH17" s="26">
        <v>1.0</v>
      </c>
      <c r="AI17" s="26">
        <v>1.0</v>
      </c>
    </row>
    <row r="18">
      <c r="A18" s="36" t="s">
        <v>53</v>
      </c>
      <c r="B18" s="34" t="s">
        <v>54</v>
      </c>
      <c r="C18" s="29">
        <v>4.0</v>
      </c>
      <c r="D18" s="29">
        <v>4.0</v>
      </c>
      <c r="E18" s="29">
        <v>4.0</v>
      </c>
      <c r="F18" s="29">
        <v>4.0</v>
      </c>
      <c r="G18" s="29">
        <v>4.0</v>
      </c>
      <c r="H18" s="29">
        <v>4.0</v>
      </c>
      <c r="I18" s="5"/>
      <c r="J18" s="36"/>
      <c r="K18" s="34" t="s">
        <v>54</v>
      </c>
      <c r="L18" s="28">
        <v>3.0</v>
      </c>
      <c r="M18" s="28">
        <v>3.0</v>
      </c>
      <c r="N18" s="28">
        <v>3.0</v>
      </c>
      <c r="O18" s="28">
        <v>3.0</v>
      </c>
      <c r="P18" s="29">
        <v>4.0</v>
      </c>
      <c r="Q18" s="29">
        <v>4.0</v>
      </c>
      <c r="R18" s="5"/>
      <c r="S18" s="36" t="s">
        <v>55</v>
      </c>
      <c r="T18" s="34" t="s">
        <v>54</v>
      </c>
      <c r="U18" s="28">
        <v>3.0</v>
      </c>
      <c r="V18" s="28">
        <v>3.0</v>
      </c>
      <c r="W18" s="28">
        <v>3.0</v>
      </c>
      <c r="X18" s="28">
        <v>3.0</v>
      </c>
      <c r="Y18" s="28">
        <v>3.0</v>
      </c>
      <c r="Z18" s="28">
        <v>3.0</v>
      </c>
      <c r="AA18" s="5"/>
      <c r="AB18" s="36" t="s">
        <v>56</v>
      </c>
      <c r="AC18" s="34" t="s">
        <v>54</v>
      </c>
      <c r="AD18" s="26">
        <v>1.0</v>
      </c>
      <c r="AE18" s="26">
        <v>1.0</v>
      </c>
      <c r="AF18" s="26">
        <v>1.0</v>
      </c>
      <c r="AG18" s="26">
        <v>1.0</v>
      </c>
      <c r="AH18" s="26">
        <v>1.0</v>
      </c>
      <c r="AI18" s="26">
        <v>1.0</v>
      </c>
    </row>
    <row r="19">
      <c r="A19" s="43" t="s">
        <v>57</v>
      </c>
      <c r="B19" s="40" t="s">
        <v>58</v>
      </c>
      <c r="C19" s="29">
        <v>4.0</v>
      </c>
      <c r="D19" s="29">
        <v>4.0</v>
      </c>
      <c r="E19" s="29">
        <v>4.0</v>
      </c>
      <c r="F19" s="29">
        <v>4.0</v>
      </c>
      <c r="G19" s="29">
        <v>4.0</v>
      </c>
      <c r="H19" s="29">
        <v>4.0</v>
      </c>
      <c r="I19" s="5"/>
      <c r="J19" s="46"/>
      <c r="K19" s="40" t="s">
        <v>58</v>
      </c>
      <c r="L19" s="29">
        <v>4.0</v>
      </c>
      <c r="M19" s="29">
        <v>4.0</v>
      </c>
      <c r="N19" s="29">
        <v>4.0</v>
      </c>
      <c r="O19" s="27">
        <v>2.0</v>
      </c>
      <c r="P19" s="30">
        <v>5.0</v>
      </c>
      <c r="Q19" s="30">
        <v>5.0</v>
      </c>
      <c r="R19" s="5"/>
      <c r="S19" s="46"/>
      <c r="T19" s="40" t="s">
        <v>58</v>
      </c>
      <c r="U19" s="30">
        <v>5.0</v>
      </c>
      <c r="V19" s="30">
        <v>5.0</v>
      </c>
      <c r="W19" s="30">
        <v>5.0</v>
      </c>
      <c r="X19" s="30">
        <v>5.0</v>
      </c>
      <c r="Y19" s="30">
        <v>5.0</v>
      </c>
      <c r="Z19" s="30">
        <v>5.0</v>
      </c>
      <c r="AA19" s="5"/>
      <c r="AB19" s="46"/>
      <c r="AC19" s="40" t="s">
        <v>58</v>
      </c>
      <c r="AD19" s="26">
        <v>1.0</v>
      </c>
      <c r="AE19" s="26">
        <v>1.0</v>
      </c>
      <c r="AF19" s="26">
        <v>1.0</v>
      </c>
      <c r="AG19" s="26">
        <v>1.0</v>
      </c>
      <c r="AH19" s="26">
        <v>1.0</v>
      </c>
      <c r="AI19" s="26">
        <v>1.0</v>
      </c>
    </row>
    <row r="20">
      <c r="A20" s="41">
        <f>COUNTIF(C5:H28,"=4")/6</f>
        <v>8.333333333</v>
      </c>
      <c r="B20" s="40" t="s">
        <v>59</v>
      </c>
      <c r="C20" s="29">
        <v>4.0</v>
      </c>
      <c r="D20" s="29">
        <v>4.0</v>
      </c>
      <c r="E20" s="29">
        <v>4.0</v>
      </c>
      <c r="F20" s="29">
        <v>4.0</v>
      </c>
      <c r="G20" s="29">
        <v>4.0</v>
      </c>
      <c r="H20" s="29">
        <v>4.0</v>
      </c>
      <c r="I20" s="5"/>
      <c r="J20" s="41">
        <f>COUNTIF(L5:Q28,"=4")/6</f>
        <v>2.166666667</v>
      </c>
      <c r="K20" s="40" t="s">
        <v>59</v>
      </c>
      <c r="L20" s="30">
        <v>5.0</v>
      </c>
      <c r="M20" s="30">
        <v>5.0</v>
      </c>
      <c r="N20" s="30">
        <v>5.0</v>
      </c>
      <c r="O20" s="30">
        <v>5.0</v>
      </c>
      <c r="P20" s="30">
        <v>5.0</v>
      </c>
      <c r="Q20" s="30">
        <v>5.0</v>
      </c>
      <c r="R20" s="5"/>
      <c r="S20" s="41">
        <f>COUNTIF(U5:Z28,"=4")/6</f>
        <v>1</v>
      </c>
      <c r="T20" s="40" t="s">
        <v>59</v>
      </c>
      <c r="U20" s="28">
        <v>3.0</v>
      </c>
      <c r="V20" s="28">
        <v>3.0</v>
      </c>
      <c r="W20" s="30">
        <v>5.0</v>
      </c>
      <c r="X20" s="30">
        <v>5.0</v>
      </c>
      <c r="Y20" s="30">
        <v>5.0</v>
      </c>
      <c r="Z20" s="30">
        <v>5.0</v>
      </c>
      <c r="AA20" s="5"/>
      <c r="AB20" s="41">
        <f>COUNTIF(AD5:AI28,"=4")/6</f>
        <v>10.83333333</v>
      </c>
      <c r="AC20" s="40" t="s">
        <v>59</v>
      </c>
      <c r="AD20" s="27">
        <v>2.0</v>
      </c>
      <c r="AE20" s="27">
        <v>2.0</v>
      </c>
      <c r="AF20" s="27">
        <v>2.0</v>
      </c>
      <c r="AG20" s="27">
        <v>2.0</v>
      </c>
      <c r="AH20" s="29">
        <v>4.0</v>
      </c>
      <c r="AI20" s="29">
        <v>4.0</v>
      </c>
    </row>
    <row r="21">
      <c r="A21" s="47" t="s">
        <v>60</v>
      </c>
      <c r="B21" s="40" t="s">
        <v>61</v>
      </c>
      <c r="C21" s="29">
        <v>4.0</v>
      </c>
      <c r="D21" s="29">
        <v>4.0</v>
      </c>
      <c r="E21" s="29">
        <v>4.0</v>
      </c>
      <c r="F21" s="29">
        <v>4.0</v>
      </c>
      <c r="G21" s="29">
        <v>4.0</v>
      </c>
      <c r="H21" s="29">
        <v>4.0</v>
      </c>
      <c r="I21" s="5"/>
      <c r="J21" s="47" t="s">
        <v>60</v>
      </c>
      <c r="K21" s="40" t="s">
        <v>61</v>
      </c>
      <c r="L21" s="30">
        <v>5.0</v>
      </c>
      <c r="M21" s="30">
        <v>5.0</v>
      </c>
      <c r="N21" s="30">
        <v>5.0</v>
      </c>
      <c r="O21" s="30">
        <v>5.0</v>
      </c>
      <c r="P21" s="30">
        <v>5.0</v>
      </c>
      <c r="Q21" s="30">
        <v>5.0</v>
      </c>
      <c r="R21" s="5"/>
      <c r="S21" s="47" t="s">
        <v>60</v>
      </c>
      <c r="T21" s="40" t="s">
        <v>61</v>
      </c>
      <c r="U21" s="30">
        <v>5.0</v>
      </c>
      <c r="V21" s="30">
        <v>5.0</v>
      </c>
      <c r="W21" s="30">
        <v>5.0</v>
      </c>
      <c r="X21" s="28">
        <v>3.0</v>
      </c>
      <c r="Y21" s="28">
        <v>3.0</v>
      </c>
      <c r="Z21" s="30">
        <v>5.0</v>
      </c>
      <c r="AA21" s="5"/>
      <c r="AB21" s="47" t="s">
        <v>60</v>
      </c>
      <c r="AC21" s="40" t="s">
        <v>61</v>
      </c>
      <c r="AD21" s="29">
        <v>4.0</v>
      </c>
      <c r="AE21" s="29">
        <v>4.0</v>
      </c>
      <c r="AF21" s="29">
        <v>4.0</v>
      </c>
      <c r="AG21" s="29">
        <v>4.0</v>
      </c>
      <c r="AH21" s="29">
        <v>4.0</v>
      </c>
      <c r="AI21" s="29">
        <v>4.0</v>
      </c>
    </row>
    <row r="22">
      <c r="A22" s="36" t="s">
        <v>62</v>
      </c>
      <c r="B22" s="34" t="s">
        <v>63</v>
      </c>
      <c r="C22" s="27">
        <v>2.0</v>
      </c>
      <c r="D22" s="27">
        <v>2.0</v>
      </c>
      <c r="E22" s="27">
        <v>2.0</v>
      </c>
      <c r="F22" s="28">
        <v>3.0</v>
      </c>
      <c r="G22" s="28">
        <v>3.0</v>
      </c>
      <c r="H22" s="28">
        <v>3.0</v>
      </c>
      <c r="I22" s="5"/>
      <c r="J22" s="36" t="s">
        <v>64</v>
      </c>
      <c r="K22" s="34" t="s">
        <v>63</v>
      </c>
      <c r="L22" s="27">
        <v>2.0</v>
      </c>
      <c r="M22" s="30">
        <v>5.0</v>
      </c>
      <c r="N22" s="30">
        <v>5.0</v>
      </c>
      <c r="O22" s="30">
        <v>5.0</v>
      </c>
      <c r="P22" s="30">
        <v>5.0</v>
      </c>
      <c r="Q22" s="30">
        <v>5.0</v>
      </c>
      <c r="R22" s="5"/>
      <c r="S22" s="36" t="s">
        <v>65</v>
      </c>
      <c r="T22" s="34" t="s">
        <v>63</v>
      </c>
      <c r="U22" s="30">
        <v>5.0</v>
      </c>
      <c r="V22" s="30">
        <v>5.0</v>
      </c>
      <c r="W22" s="30">
        <v>5.0</v>
      </c>
      <c r="X22" s="30">
        <v>5.0</v>
      </c>
      <c r="Y22" s="30">
        <v>5.0</v>
      </c>
      <c r="Z22" s="30">
        <v>5.0</v>
      </c>
      <c r="AA22" s="5"/>
      <c r="AB22" s="36" t="s">
        <v>66</v>
      </c>
      <c r="AC22" s="34" t="s">
        <v>63</v>
      </c>
      <c r="AD22" s="29">
        <v>4.0</v>
      </c>
      <c r="AE22" s="29">
        <v>4.0</v>
      </c>
      <c r="AF22" s="29">
        <v>4.0</v>
      </c>
      <c r="AG22" s="29">
        <v>4.0</v>
      </c>
      <c r="AH22" s="29">
        <v>4.0</v>
      </c>
      <c r="AI22" s="29">
        <v>4.0</v>
      </c>
    </row>
    <row r="23">
      <c r="A23" s="46"/>
      <c r="B23" s="40" t="s">
        <v>67</v>
      </c>
      <c r="C23" s="28">
        <v>3.0</v>
      </c>
      <c r="D23" s="28">
        <v>3.0</v>
      </c>
      <c r="E23" s="28">
        <v>3.0</v>
      </c>
      <c r="F23" s="28">
        <v>3.0</v>
      </c>
      <c r="G23" s="28">
        <v>3.0</v>
      </c>
      <c r="H23" s="28">
        <v>3.0</v>
      </c>
      <c r="I23" s="5"/>
      <c r="J23" s="43"/>
      <c r="K23" s="40" t="s">
        <v>67</v>
      </c>
      <c r="L23" s="30">
        <v>5.0</v>
      </c>
      <c r="M23" s="30">
        <v>5.0</v>
      </c>
      <c r="N23" s="30">
        <v>5.0</v>
      </c>
      <c r="O23" s="30">
        <v>5.0</v>
      </c>
      <c r="P23" s="30">
        <v>5.0</v>
      </c>
      <c r="Q23" s="30">
        <v>5.0</v>
      </c>
      <c r="R23" s="5"/>
      <c r="S23" s="46"/>
      <c r="T23" s="40" t="s">
        <v>67</v>
      </c>
      <c r="U23" s="30">
        <v>5.0</v>
      </c>
      <c r="V23" s="30">
        <v>5.0</v>
      </c>
      <c r="W23" s="30">
        <v>5.0</v>
      </c>
      <c r="X23" s="30">
        <v>5.0</v>
      </c>
      <c r="Y23" s="30">
        <v>5.0</v>
      </c>
      <c r="Z23" s="28">
        <v>3.0</v>
      </c>
      <c r="AA23" s="5"/>
      <c r="AB23" s="46"/>
      <c r="AC23" s="40" t="s">
        <v>67</v>
      </c>
      <c r="AD23" s="29">
        <v>4.0</v>
      </c>
      <c r="AE23" s="29">
        <v>4.0</v>
      </c>
      <c r="AF23" s="29">
        <v>4.0</v>
      </c>
      <c r="AG23" s="29">
        <v>4.0</v>
      </c>
      <c r="AH23" s="29">
        <v>4.0</v>
      </c>
      <c r="AI23" s="29">
        <v>4.0</v>
      </c>
    </row>
    <row r="24">
      <c r="A24" s="41">
        <f>COUNTIF(C5:H28,"=5")/6</f>
        <v>2.833333333</v>
      </c>
      <c r="B24" s="40" t="s">
        <v>68</v>
      </c>
      <c r="C24" s="28">
        <v>3.0</v>
      </c>
      <c r="D24" s="28">
        <v>3.0</v>
      </c>
      <c r="E24" s="28">
        <v>3.0</v>
      </c>
      <c r="F24" s="28">
        <v>3.0</v>
      </c>
      <c r="G24" s="28">
        <v>3.0</v>
      </c>
      <c r="H24" s="28">
        <v>3.0</v>
      </c>
      <c r="I24" s="5"/>
      <c r="J24" s="41">
        <f>COUNTIF(L5:Q28,"=5")/6</f>
        <v>7.333333333</v>
      </c>
      <c r="K24" s="40" t="s">
        <v>68</v>
      </c>
      <c r="L24" s="30">
        <v>5.0</v>
      </c>
      <c r="M24" s="30">
        <v>5.0</v>
      </c>
      <c r="N24" s="30">
        <v>5.0</v>
      </c>
      <c r="O24" s="30">
        <v>5.0</v>
      </c>
      <c r="P24" s="30">
        <v>5.0</v>
      </c>
      <c r="Q24" s="30">
        <v>5.0</v>
      </c>
      <c r="R24" s="5"/>
      <c r="S24" s="41">
        <f>COUNTIF(U5:Z28,"=5")/6</f>
        <v>6.666666667</v>
      </c>
      <c r="T24" s="40" t="s">
        <v>68</v>
      </c>
      <c r="U24" s="27">
        <v>2.0</v>
      </c>
      <c r="V24" s="27">
        <v>2.0</v>
      </c>
      <c r="W24" s="27">
        <v>2.0</v>
      </c>
      <c r="X24" s="27">
        <v>2.0</v>
      </c>
      <c r="Y24" s="27">
        <v>2.0</v>
      </c>
      <c r="Z24" s="30">
        <v>5.0</v>
      </c>
      <c r="AA24" s="5"/>
      <c r="AB24" s="41">
        <f>COUNTIF(AD5:AI28,"=5")/6</f>
        <v>2</v>
      </c>
      <c r="AC24" s="40" t="s">
        <v>68</v>
      </c>
      <c r="AD24" s="29">
        <v>4.0</v>
      </c>
      <c r="AE24" s="29">
        <v>4.0</v>
      </c>
      <c r="AF24" s="29">
        <v>4.0</v>
      </c>
      <c r="AG24" s="29">
        <v>4.0</v>
      </c>
      <c r="AH24" s="29">
        <v>4.0</v>
      </c>
      <c r="AI24" s="29">
        <v>4.0</v>
      </c>
    </row>
    <row r="25">
      <c r="A25" s="48" t="s">
        <v>69</v>
      </c>
      <c r="B25" s="40" t="s">
        <v>23</v>
      </c>
      <c r="C25" s="28">
        <v>3.0</v>
      </c>
      <c r="D25" s="28">
        <v>3.0</v>
      </c>
      <c r="E25" s="30">
        <v>5.0</v>
      </c>
      <c r="F25" s="30">
        <v>5.0</v>
      </c>
      <c r="G25" s="30">
        <v>5.0</v>
      </c>
      <c r="H25" s="30">
        <v>5.0</v>
      </c>
      <c r="I25" s="5"/>
      <c r="J25" s="48" t="s">
        <v>69</v>
      </c>
      <c r="K25" s="40" t="s">
        <v>23</v>
      </c>
      <c r="L25" s="30">
        <v>5.0</v>
      </c>
      <c r="M25" s="30">
        <v>5.0</v>
      </c>
      <c r="N25" s="30">
        <v>5.0</v>
      </c>
      <c r="O25" s="30">
        <v>5.0</v>
      </c>
      <c r="P25" s="30">
        <v>5.0</v>
      </c>
      <c r="Q25" s="30">
        <v>5.0</v>
      </c>
      <c r="R25" s="5"/>
      <c r="S25" s="48" t="s">
        <v>69</v>
      </c>
      <c r="T25" s="40" t="s">
        <v>23</v>
      </c>
      <c r="U25" s="30">
        <v>5.0</v>
      </c>
      <c r="V25" s="30">
        <v>5.0</v>
      </c>
      <c r="W25" s="30">
        <v>5.0</v>
      </c>
      <c r="X25" s="30">
        <v>5.0</v>
      </c>
      <c r="Y25" s="30">
        <v>5.0</v>
      </c>
      <c r="Z25" s="30">
        <v>5.0</v>
      </c>
      <c r="AA25" s="5"/>
      <c r="AB25" s="48" t="s">
        <v>69</v>
      </c>
      <c r="AC25" s="40" t="s">
        <v>23</v>
      </c>
      <c r="AD25" s="29">
        <v>4.0</v>
      </c>
      <c r="AE25" s="29">
        <v>4.0</v>
      </c>
      <c r="AF25" s="29">
        <v>4.0</v>
      </c>
      <c r="AG25" s="29">
        <v>4.0</v>
      </c>
      <c r="AH25" s="29">
        <v>4.0</v>
      </c>
      <c r="AI25" s="29">
        <v>4.0</v>
      </c>
    </row>
    <row r="26">
      <c r="A26" s="43"/>
      <c r="B26" s="34" t="s">
        <v>70</v>
      </c>
      <c r="C26" s="30">
        <v>5.0</v>
      </c>
      <c r="D26" s="30">
        <v>5.0</v>
      </c>
      <c r="E26" s="30">
        <v>5.0</v>
      </c>
      <c r="F26" s="30">
        <v>5.0</v>
      </c>
      <c r="G26" s="30">
        <v>5.0</v>
      </c>
      <c r="H26" s="30">
        <v>5.0</v>
      </c>
      <c r="I26" s="5"/>
      <c r="J26" s="43"/>
      <c r="K26" s="34" t="s">
        <v>70</v>
      </c>
      <c r="L26" s="30">
        <v>5.0</v>
      </c>
      <c r="M26" s="30">
        <v>5.0</v>
      </c>
      <c r="N26" s="30">
        <v>5.0</v>
      </c>
      <c r="O26" s="30">
        <v>5.0</v>
      </c>
      <c r="P26" s="30">
        <v>5.0</v>
      </c>
      <c r="Q26" s="30">
        <v>5.0</v>
      </c>
      <c r="R26" s="5"/>
      <c r="S26" s="39"/>
      <c r="T26" s="34" t="s">
        <v>70</v>
      </c>
      <c r="U26" s="30">
        <v>5.0</v>
      </c>
      <c r="V26" s="28">
        <v>3.0</v>
      </c>
      <c r="W26" s="28">
        <v>3.0</v>
      </c>
      <c r="X26" s="30">
        <v>5.0</v>
      </c>
      <c r="Y26" s="30">
        <v>5.0</v>
      </c>
      <c r="Z26" s="30">
        <v>5.0</v>
      </c>
      <c r="AA26" s="5"/>
      <c r="AB26" s="43" t="s">
        <v>71</v>
      </c>
      <c r="AC26" s="34" t="s">
        <v>70</v>
      </c>
      <c r="AD26" s="30">
        <v>5.0</v>
      </c>
      <c r="AE26" s="30">
        <v>5.0</v>
      </c>
      <c r="AF26" s="30">
        <v>5.0</v>
      </c>
      <c r="AG26" s="30">
        <v>5.0</v>
      </c>
      <c r="AH26" s="30">
        <v>5.0</v>
      </c>
      <c r="AI26" s="30">
        <v>5.0</v>
      </c>
    </row>
    <row r="27">
      <c r="A27" s="43"/>
      <c r="B27" s="34" t="s">
        <v>72</v>
      </c>
      <c r="C27" s="30">
        <v>5.0</v>
      </c>
      <c r="D27" s="30">
        <v>5.0</v>
      </c>
      <c r="E27" s="30">
        <v>5.0</v>
      </c>
      <c r="F27" s="30">
        <v>5.0</v>
      </c>
      <c r="G27" s="30">
        <v>5.0</v>
      </c>
      <c r="H27" s="30">
        <v>5.0</v>
      </c>
      <c r="I27" s="5"/>
      <c r="J27" s="43"/>
      <c r="K27" s="34" t="s">
        <v>72</v>
      </c>
      <c r="L27" s="30">
        <v>5.0</v>
      </c>
      <c r="M27" s="27">
        <v>2.0</v>
      </c>
      <c r="N27" s="27">
        <v>2.0</v>
      </c>
      <c r="O27" s="27">
        <v>2.0</v>
      </c>
      <c r="P27" s="29">
        <v>4.0</v>
      </c>
      <c r="Q27" s="29">
        <v>4.0</v>
      </c>
      <c r="R27" s="5"/>
      <c r="T27" s="34" t="s">
        <v>72</v>
      </c>
      <c r="U27" s="30">
        <v>5.0</v>
      </c>
      <c r="V27" s="30">
        <v>5.0</v>
      </c>
      <c r="W27" s="30">
        <v>5.0</v>
      </c>
      <c r="X27" s="30">
        <v>5.0</v>
      </c>
      <c r="Y27" s="27">
        <v>2.0</v>
      </c>
      <c r="Z27" s="27">
        <v>2.0</v>
      </c>
      <c r="AA27" s="5"/>
      <c r="AB27" s="39"/>
      <c r="AC27" s="34" t="s">
        <v>72</v>
      </c>
      <c r="AD27" s="30">
        <v>5.0</v>
      </c>
      <c r="AE27" s="30">
        <v>5.0</v>
      </c>
      <c r="AF27" s="30">
        <v>5.0</v>
      </c>
      <c r="AG27" s="30">
        <v>5.0</v>
      </c>
      <c r="AH27" s="30">
        <v>5.0</v>
      </c>
      <c r="AI27" s="30">
        <v>5.0</v>
      </c>
    </row>
    <row r="28">
      <c r="A28" s="49"/>
      <c r="B28" s="34" t="s">
        <v>73</v>
      </c>
      <c r="C28" s="30">
        <v>5.0</v>
      </c>
      <c r="D28" s="26">
        <v>1.0</v>
      </c>
      <c r="E28" s="26">
        <v>1.0</v>
      </c>
      <c r="F28" s="26">
        <v>1.0</v>
      </c>
      <c r="G28" s="26">
        <v>1.0</v>
      </c>
      <c r="H28" s="26">
        <v>1.0</v>
      </c>
      <c r="I28" s="5"/>
      <c r="J28" s="49"/>
      <c r="K28" s="34" t="s">
        <v>73</v>
      </c>
      <c r="L28" s="29">
        <v>4.0</v>
      </c>
      <c r="M28" s="29">
        <v>4.0</v>
      </c>
      <c r="N28" s="29">
        <v>4.0</v>
      </c>
      <c r="O28" s="29">
        <v>4.0</v>
      </c>
      <c r="P28" s="29">
        <v>4.0</v>
      </c>
      <c r="Q28" s="29">
        <v>4.0</v>
      </c>
      <c r="R28" s="5"/>
      <c r="S28" s="49"/>
      <c r="T28" s="34" t="s">
        <v>73</v>
      </c>
      <c r="U28" s="29">
        <v>4.0</v>
      </c>
      <c r="V28" s="29">
        <v>4.0</v>
      </c>
      <c r="W28" s="29">
        <v>4.0</v>
      </c>
      <c r="X28" s="29">
        <v>4.0</v>
      </c>
      <c r="Y28" s="29">
        <v>4.0</v>
      </c>
      <c r="Z28" s="29">
        <v>4.0</v>
      </c>
      <c r="AA28" s="5"/>
      <c r="AB28" s="49"/>
      <c r="AC28" s="34" t="s">
        <v>73</v>
      </c>
      <c r="AD28" s="28">
        <v>3.0</v>
      </c>
      <c r="AE28" s="28">
        <v>3.0</v>
      </c>
      <c r="AF28" s="28">
        <v>3.0</v>
      </c>
      <c r="AG28" s="28">
        <v>3.0</v>
      </c>
      <c r="AH28" s="28">
        <v>3.0</v>
      </c>
      <c r="AI28" s="28">
        <v>3.0</v>
      </c>
    </row>
    <row r="29">
      <c r="A29" s="50">
        <f>SUM(A8,A12,A16,A20,A24)</f>
        <v>24</v>
      </c>
      <c r="B29" s="5"/>
      <c r="C29" s="5"/>
      <c r="D29" s="5"/>
      <c r="E29" s="5"/>
      <c r="F29" s="5"/>
      <c r="G29" s="5"/>
      <c r="H29" s="5"/>
      <c r="I29" s="5"/>
      <c r="J29" s="50">
        <f>SUM(J8,J12,J16,J20,J24)</f>
        <v>24</v>
      </c>
      <c r="K29" s="5"/>
      <c r="L29" s="5"/>
      <c r="M29" s="5"/>
      <c r="N29" s="5"/>
      <c r="O29" s="5"/>
      <c r="P29" s="5"/>
      <c r="Q29" s="5"/>
      <c r="R29" s="5"/>
      <c r="S29" s="50">
        <f>SUM(S8,S12,S16,S20,S24)</f>
        <v>24</v>
      </c>
      <c r="T29" s="5"/>
      <c r="U29" s="5"/>
      <c r="V29" s="5"/>
      <c r="W29" s="5"/>
      <c r="X29" s="5"/>
      <c r="Y29" s="5"/>
      <c r="Z29" s="5"/>
      <c r="AA29" s="5"/>
      <c r="AB29" s="50">
        <f>SUM(AB8,AB12,AB16,AB20,AB24)</f>
        <v>24</v>
      </c>
      <c r="AC29" s="5"/>
      <c r="AD29" s="5"/>
      <c r="AE29" s="5"/>
      <c r="AF29" s="5"/>
      <c r="AG29" s="5"/>
      <c r="AH29" s="5"/>
      <c r="AI29" s="51"/>
    </row>
    <row r="30">
      <c r="A30" s="52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1"/>
    </row>
    <row r="31">
      <c r="A31" s="53"/>
      <c r="B31" s="5"/>
      <c r="C31" s="5"/>
      <c r="D31" s="5"/>
      <c r="E31" s="5"/>
      <c r="F31" s="5"/>
      <c r="G31" s="5"/>
      <c r="H31" s="5"/>
      <c r="I31" s="5"/>
      <c r="J31" s="37"/>
      <c r="K31" s="5"/>
      <c r="L31" s="5"/>
      <c r="M31" s="5"/>
      <c r="N31" s="5"/>
      <c r="O31" s="5"/>
      <c r="P31" s="5"/>
      <c r="Q31" s="5"/>
      <c r="R31" s="5"/>
      <c r="S31" s="37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1"/>
    </row>
    <row r="32">
      <c r="A32" s="23" t="s">
        <v>74</v>
      </c>
      <c r="B32" s="24" t="s">
        <v>16</v>
      </c>
      <c r="C32" s="25"/>
      <c r="D32" s="26">
        <v>1.0</v>
      </c>
      <c r="E32" s="27">
        <v>2.0</v>
      </c>
      <c r="F32" s="28">
        <v>3.0</v>
      </c>
      <c r="G32" s="29">
        <v>4.0</v>
      </c>
      <c r="H32" s="30">
        <v>5.0</v>
      </c>
      <c r="I32" s="5"/>
      <c r="J32" s="23" t="s">
        <v>75</v>
      </c>
      <c r="K32" s="24" t="s">
        <v>16</v>
      </c>
      <c r="L32" s="25"/>
      <c r="M32" s="26">
        <v>1.0</v>
      </c>
      <c r="N32" s="27">
        <v>2.0</v>
      </c>
      <c r="O32" s="28">
        <v>3.0</v>
      </c>
      <c r="P32" s="29">
        <v>4.0</v>
      </c>
      <c r="Q32" s="30">
        <v>5.0</v>
      </c>
      <c r="R32" s="5"/>
      <c r="S32" s="23" t="s">
        <v>76</v>
      </c>
      <c r="T32" s="24" t="s">
        <v>16</v>
      </c>
      <c r="U32" s="25"/>
      <c r="V32" s="26">
        <v>1.0</v>
      </c>
      <c r="W32" s="27">
        <v>2.0</v>
      </c>
      <c r="X32" s="28">
        <v>3.0</v>
      </c>
      <c r="Y32" s="29">
        <v>4.0</v>
      </c>
      <c r="Z32" s="30">
        <v>5.0</v>
      </c>
      <c r="AA32" s="5"/>
      <c r="AB32" s="54" t="s">
        <v>77</v>
      </c>
      <c r="AC32" s="55" t="s">
        <v>78</v>
      </c>
      <c r="AD32" s="55" t="s">
        <v>79</v>
      </c>
      <c r="AE32" s="55" t="s">
        <v>80</v>
      </c>
      <c r="AF32" s="55" t="s">
        <v>81</v>
      </c>
      <c r="AG32" s="55" t="s">
        <v>82</v>
      </c>
      <c r="AH32" s="55" t="s">
        <v>83</v>
      </c>
      <c r="AI32" s="55" t="s">
        <v>84</v>
      </c>
    </row>
    <row r="33">
      <c r="A33" s="31" t="s">
        <v>20</v>
      </c>
      <c r="B33" s="32" t="s">
        <v>21</v>
      </c>
      <c r="C33" s="32" t="s">
        <v>22</v>
      </c>
      <c r="D33" s="32" t="s">
        <v>23</v>
      </c>
      <c r="E33" s="32" t="s">
        <v>24</v>
      </c>
      <c r="F33" s="32" t="s">
        <v>25</v>
      </c>
      <c r="G33" s="32" t="s">
        <v>26</v>
      </c>
      <c r="H33" s="32" t="s">
        <v>27</v>
      </c>
      <c r="I33" s="5"/>
      <c r="J33" s="31" t="s">
        <v>20</v>
      </c>
      <c r="K33" s="32" t="s">
        <v>21</v>
      </c>
      <c r="L33" s="32" t="s">
        <v>22</v>
      </c>
      <c r="M33" s="32" t="s">
        <v>23</v>
      </c>
      <c r="N33" s="32" t="s">
        <v>24</v>
      </c>
      <c r="O33" s="32" t="s">
        <v>25</v>
      </c>
      <c r="P33" s="32" t="s">
        <v>26</v>
      </c>
      <c r="Q33" s="32" t="s">
        <v>27</v>
      </c>
      <c r="R33" s="5"/>
      <c r="S33" s="31" t="s">
        <v>20</v>
      </c>
      <c r="T33" s="32" t="s">
        <v>21</v>
      </c>
      <c r="U33" s="32" t="s">
        <v>22</v>
      </c>
      <c r="V33" s="32" t="s">
        <v>23</v>
      </c>
      <c r="W33" s="32" t="s">
        <v>24</v>
      </c>
      <c r="X33" s="32" t="s">
        <v>25</v>
      </c>
      <c r="Y33" s="32" t="s">
        <v>26</v>
      </c>
      <c r="Z33" s="32" t="s">
        <v>27</v>
      </c>
      <c r="AA33" s="5"/>
      <c r="AB33" s="33" t="s">
        <v>85</v>
      </c>
      <c r="AC33" s="56">
        <f>A8</f>
        <v>4.5</v>
      </c>
      <c r="AD33" s="56">
        <f>J8</f>
        <v>11.5</v>
      </c>
      <c r="AE33" s="56">
        <f>S8</f>
        <v>12</v>
      </c>
      <c r="AF33" s="56">
        <f>AB8</f>
        <v>9</v>
      </c>
      <c r="AG33" s="56">
        <f>A37</f>
        <v>10</v>
      </c>
      <c r="AH33" s="56">
        <f>J37</f>
        <v>8.333333333</v>
      </c>
      <c r="AI33" s="56">
        <f>S37</f>
        <v>10</v>
      </c>
    </row>
    <row r="34">
      <c r="A34" s="33" t="s">
        <v>28</v>
      </c>
      <c r="B34" s="34" t="s">
        <v>21</v>
      </c>
      <c r="C34" s="28">
        <v>3.0</v>
      </c>
      <c r="D34" s="28">
        <v>3.0</v>
      </c>
      <c r="E34" s="29">
        <v>4.0</v>
      </c>
      <c r="F34" s="29">
        <v>4.0</v>
      </c>
      <c r="G34" s="29">
        <v>4.0</v>
      </c>
      <c r="H34" s="29">
        <v>4.0</v>
      </c>
      <c r="I34" s="5"/>
      <c r="J34" s="33" t="s">
        <v>28</v>
      </c>
      <c r="K34" s="34" t="s">
        <v>21</v>
      </c>
      <c r="L34" s="30">
        <v>5.0</v>
      </c>
      <c r="M34" s="30">
        <v>5.0</v>
      </c>
      <c r="N34" s="30">
        <v>5.0</v>
      </c>
      <c r="O34" s="30">
        <v>5.0</v>
      </c>
      <c r="P34" s="30">
        <v>5.0</v>
      </c>
      <c r="Q34" s="30">
        <v>5.0</v>
      </c>
      <c r="R34" s="5"/>
      <c r="S34" s="35" t="s">
        <v>28</v>
      </c>
      <c r="T34" s="34" t="s">
        <v>21</v>
      </c>
      <c r="U34" s="30">
        <v>5.0</v>
      </c>
      <c r="V34" s="30">
        <v>5.0</v>
      </c>
      <c r="W34" s="30">
        <v>5.0</v>
      </c>
      <c r="X34" s="30">
        <v>5.0</v>
      </c>
      <c r="Y34" s="30">
        <v>5.0</v>
      </c>
      <c r="Z34" s="30">
        <v>5.0</v>
      </c>
      <c r="AA34" s="5"/>
      <c r="AB34" s="57"/>
      <c r="AC34" s="58" t="s">
        <v>86</v>
      </c>
      <c r="AD34" s="59"/>
      <c r="AE34" s="60">
        <f>SUM(AC33:AI33)</f>
        <v>65.33333333</v>
      </c>
      <c r="AF34" s="61" t="s">
        <v>87</v>
      </c>
      <c r="AG34" s="62"/>
      <c r="AH34" s="56">
        <f>AVERAGE(AC33:AI33)</f>
        <v>9.333333333</v>
      </c>
      <c r="AI34" s="51"/>
    </row>
    <row r="35">
      <c r="A35" s="38"/>
      <c r="B35" s="34" t="s">
        <v>30</v>
      </c>
      <c r="C35" s="29">
        <v>4.0</v>
      </c>
      <c r="D35" s="29">
        <v>4.0</v>
      </c>
      <c r="E35" s="29">
        <v>4.0</v>
      </c>
      <c r="F35" s="29">
        <v>4.0</v>
      </c>
      <c r="G35" s="29">
        <v>4.0</v>
      </c>
      <c r="H35" s="29">
        <v>4.0</v>
      </c>
      <c r="I35" s="37" t="s">
        <v>31</v>
      </c>
      <c r="J35" s="38"/>
      <c r="K35" s="34" t="s">
        <v>30</v>
      </c>
      <c r="L35" s="30">
        <v>5.0</v>
      </c>
      <c r="M35" s="30">
        <v>5.0</v>
      </c>
      <c r="N35" s="30">
        <v>5.0</v>
      </c>
      <c r="O35" s="27">
        <v>2.0</v>
      </c>
      <c r="P35" s="27">
        <v>2.0</v>
      </c>
      <c r="Q35" s="27">
        <v>2.0</v>
      </c>
      <c r="R35" s="5"/>
      <c r="S35" s="38"/>
      <c r="T35" s="34" t="s">
        <v>30</v>
      </c>
      <c r="U35" s="30">
        <v>5.0</v>
      </c>
      <c r="V35" s="30">
        <v>5.0</v>
      </c>
      <c r="W35" s="30">
        <v>5.0</v>
      </c>
      <c r="X35" s="27">
        <v>2.0</v>
      </c>
      <c r="Y35" s="29">
        <v>4.0</v>
      </c>
      <c r="Z35" s="29">
        <v>4.0</v>
      </c>
      <c r="AA35" s="5"/>
      <c r="AB35" s="63" t="s">
        <v>88</v>
      </c>
      <c r="AC35" s="56">
        <f>A12</f>
        <v>1.5</v>
      </c>
      <c r="AD35" s="56">
        <f>J12</f>
        <v>1.833333333</v>
      </c>
      <c r="AE35" s="56">
        <f>S12</f>
        <v>1.833333333</v>
      </c>
      <c r="AF35" s="56">
        <f>AB12</f>
        <v>1.166666667</v>
      </c>
      <c r="AG35" s="56">
        <f>A41</f>
        <v>1.666666667</v>
      </c>
      <c r="AH35" s="56">
        <f>J41</f>
        <v>3</v>
      </c>
      <c r="AI35" s="56">
        <f>S41</f>
        <v>0.5</v>
      </c>
    </row>
    <row r="36">
      <c r="A36" s="39"/>
      <c r="B36" s="40" t="s">
        <v>33</v>
      </c>
      <c r="C36" s="29">
        <v>4.0</v>
      </c>
      <c r="D36" s="29">
        <v>4.0</v>
      </c>
      <c r="E36" s="29">
        <v>4.0</v>
      </c>
      <c r="F36" s="29">
        <v>4.0</v>
      </c>
      <c r="G36" s="29">
        <v>4.0</v>
      </c>
      <c r="H36" s="29">
        <v>4.0</v>
      </c>
      <c r="I36" s="5"/>
      <c r="J36" s="39"/>
      <c r="K36" s="40" t="s">
        <v>33</v>
      </c>
      <c r="L36" s="27">
        <v>2.0</v>
      </c>
      <c r="M36" s="27">
        <v>2.0</v>
      </c>
      <c r="N36" s="27">
        <v>2.0</v>
      </c>
      <c r="O36" s="27">
        <v>2.0</v>
      </c>
      <c r="P36" s="28">
        <v>3.0</v>
      </c>
      <c r="Q36" s="28">
        <v>3.0</v>
      </c>
      <c r="R36" s="5"/>
      <c r="S36" s="39"/>
      <c r="T36" s="40" t="s">
        <v>33</v>
      </c>
      <c r="U36" s="29">
        <v>4.0</v>
      </c>
      <c r="V36" s="29">
        <v>4.0</v>
      </c>
      <c r="W36" s="29">
        <v>4.0</v>
      </c>
      <c r="X36" s="29">
        <v>4.0</v>
      </c>
      <c r="Y36" s="27">
        <v>2.0</v>
      </c>
      <c r="Z36" s="27">
        <v>2.0</v>
      </c>
      <c r="AA36" s="5"/>
      <c r="AB36" s="64"/>
      <c r="AC36" s="58" t="s">
        <v>86</v>
      </c>
      <c r="AD36" s="59"/>
      <c r="AE36" s="60">
        <f>SUM(AC35:AI35)</f>
        <v>11.5</v>
      </c>
      <c r="AF36" s="61" t="s">
        <v>87</v>
      </c>
      <c r="AG36" s="62"/>
      <c r="AH36" s="56">
        <f>AVERAGE(AC35:AI35)</f>
        <v>1.642857143</v>
      </c>
      <c r="AI36" s="51"/>
    </row>
    <row r="37">
      <c r="A37" s="41">
        <f>COUNTIF(C34:H57,"=1")/6</f>
        <v>10</v>
      </c>
      <c r="B37" s="40" t="s">
        <v>34</v>
      </c>
      <c r="C37" s="29">
        <v>4.0</v>
      </c>
      <c r="D37" s="29">
        <v>4.0</v>
      </c>
      <c r="E37" s="29">
        <v>4.0</v>
      </c>
      <c r="F37" s="29">
        <v>4.0</v>
      </c>
      <c r="G37" s="29">
        <v>4.0</v>
      </c>
      <c r="H37" s="29">
        <v>4.0</v>
      </c>
      <c r="I37" s="5"/>
      <c r="J37" s="41">
        <f>COUNTIF(L34:Q57,"=1")/6</f>
        <v>8.333333333</v>
      </c>
      <c r="K37" s="40" t="s">
        <v>34</v>
      </c>
      <c r="L37" s="29">
        <v>4.0</v>
      </c>
      <c r="M37" s="29">
        <v>4.0</v>
      </c>
      <c r="N37" s="29">
        <v>4.0</v>
      </c>
      <c r="O37" s="29">
        <v>4.0</v>
      </c>
      <c r="P37" s="29">
        <v>4.0</v>
      </c>
      <c r="Q37" s="29">
        <v>4.0</v>
      </c>
      <c r="R37" s="5"/>
      <c r="S37" s="41">
        <f>COUNTIF(U34:Z57,"=1")/6</f>
        <v>10</v>
      </c>
      <c r="T37" s="40" t="s">
        <v>34</v>
      </c>
      <c r="U37" s="29">
        <v>4.0</v>
      </c>
      <c r="V37" s="29">
        <v>4.0</v>
      </c>
      <c r="W37" s="29">
        <v>4.0</v>
      </c>
      <c r="X37" s="29">
        <v>4.0</v>
      </c>
      <c r="Y37" s="29">
        <v>4.0</v>
      </c>
      <c r="Z37" s="29">
        <v>4.0</v>
      </c>
      <c r="AA37" s="5"/>
      <c r="AB37" s="65" t="s">
        <v>89</v>
      </c>
      <c r="AC37" s="56">
        <f>A16</f>
        <v>6.833333333</v>
      </c>
      <c r="AD37" s="56">
        <f>J16</f>
        <v>1.166666667</v>
      </c>
      <c r="AE37" s="66" t="str">
        <f>S18</f>
        <v>집안일 + 귀칼 정주행 시작</v>
      </c>
      <c r="AF37" s="56">
        <f>AB16</f>
        <v>1</v>
      </c>
      <c r="AG37" s="56">
        <f>A45</f>
        <v>0.6666666667</v>
      </c>
      <c r="AH37" s="56">
        <f>J45</f>
        <v>0.8333333333</v>
      </c>
      <c r="AI37" s="56">
        <f>S45</f>
        <v>2</v>
      </c>
    </row>
    <row r="38">
      <c r="A38" s="42" t="s">
        <v>35</v>
      </c>
      <c r="B38" s="40" t="s">
        <v>36</v>
      </c>
      <c r="C38" s="29">
        <v>4.0</v>
      </c>
      <c r="D38" s="29">
        <v>4.0</v>
      </c>
      <c r="E38" s="29">
        <v>4.0</v>
      </c>
      <c r="F38" s="29">
        <v>4.0</v>
      </c>
      <c r="G38" s="29">
        <v>4.0</v>
      </c>
      <c r="H38" s="29">
        <v>4.0</v>
      </c>
      <c r="I38" s="5"/>
      <c r="J38" s="42" t="s">
        <v>35</v>
      </c>
      <c r="K38" s="40" t="s">
        <v>36</v>
      </c>
      <c r="L38" s="29">
        <v>4.0</v>
      </c>
      <c r="M38" s="29">
        <v>4.0</v>
      </c>
      <c r="N38" s="29">
        <v>4.0</v>
      </c>
      <c r="O38" s="29">
        <v>4.0</v>
      </c>
      <c r="P38" s="29">
        <v>4.0</v>
      </c>
      <c r="Q38" s="29">
        <v>4.0</v>
      </c>
      <c r="R38" s="5"/>
      <c r="S38" s="42" t="s">
        <v>35</v>
      </c>
      <c r="T38" s="40" t="s">
        <v>36</v>
      </c>
      <c r="U38" s="29">
        <v>4.0</v>
      </c>
      <c r="V38" s="29">
        <v>4.0</v>
      </c>
      <c r="W38" s="29">
        <v>4.0</v>
      </c>
      <c r="X38" s="29">
        <v>4.0</v>
      </c>
      <c r="Y38" s="29">
        <v>4.0</v>
      </c>
      <c r="Z38" s="29">
        <v>4.0</v>
      </c>
      <c r="AA38" s="5"/>
      <c r="AB38" s="67"/>
      <c r="AC38" s="58" t="s">
        <v>86</v>
      </c>
      <c r="AD38" s="59"/>
      <c r="AE38" s="60">
        <f>SUM(AC37:AI37)</f>
        <v>12.5</v>
      </c>
      <c r="AF38" s="61" t="s">
        <v>87</v>
      </c>
      <c r="AG38" s="62"/>
      <c r="AH38" s="56">
        <f>AVERAGE(AC37:AI37)</f>
        <v>2.083333333</v>
      </c>
      <c r="AI38" s="51"/>
    </row>
    <row r="39">
      <c r="A39" s="36" t="s">
        <v>91</v>
      </c>
      <c r="B39" s="34" t="s">
        <v>38</v>
      </c>
      <c r="C39" s="29">
        <v>4.0</v>
      </c>
      <c r="D39" s="29">
        <v>4.0</v>
      </c>
      <c r="E39" s="29">
        <v>4.0</v>
      </c>
      <c r="F39" s="29">
        <v>4.0</v>
      </c>
      <c r="G39" s="29">
        <v>4.0</v>
      </c>
      <c r="H39" s="29">
        <v>4.0</v>
      </c>
      <c r="I39" s="5"/>
      <c r="J39" s="36" t="s">
        <v>92</v>
      </c>
      <c r="K39" s="34" t="s">
        <v>38</v>
      </c>
      <c r="L39" s="29">
        <v>4.0</v>
      </c>
      <c r="M39" s="29">
        <v>4.0</v>
      </c>
      <c r="N39" s="29">
        <v>4.0</v>
      </c>
      <c r="O39" s="28">
        <v>3.0</v>
      </c>
      <c r="P39" s="28">
        <v>3.0</v>
      </c>
      <c r="Q39" s="28">
        <v>3.0</v>
      </c>
      <c r="R39" s="5"/>
      <c r="S39" s="68"/>
      <c r="T39" s="34" t="s">
        <v>38</v>
      </c>
      <c r="U39" s="26">
        <v>1.0</v>
      </c>
      <c r="V39" s="26">
        <v>1.0</v>
      </c>
      <c r="W39" s="26">
        <v>1.0</v>
      </c>
      <c r="X39" s="26">
        <v>1.0</v>
      </c>
      <c r="Y39" s="26">
        <v>1.0</v>
      </c>
      <c r="Z39" s="26">
        <v>1.0</v>
      </c>
      <c r="AA39" s="5"/>
      <c r="AB39" s="69" t="s">
        <v>93</v>
      </c>
      <c r="AC39" s="56">
        <f>A20</f>
        <v>8.333333333</v>
      </c>
      <c r="AD39" s="56">
        <f>J20</f>
        <v>2.166666667</v>
      </c>
      <c r="AE39" s="56">
        <f>S20</f>
        <v>1</v>
      </c>
      <c r="AF39" s="56">
        <f>AB20</f>
        <v>10.83333333</v>
      </c>
      <c r="AG39" s="56">
        <f>A49</f>
        <v>6.666666667</v>
      </c>
      <c r="AH39" s="56">
        <f>J49</f>
        <v>5.166666667</v>
      </c>
      <c r="AI39" s="56">
        <f>S49</f>
        <v>3</v>
      </c>
    </row>
    <row r="40">
      <c r="A40" s="39"/>
      <c r="B40" s="40" t="s">
        <v>42</v>
      </c>
      <c r="C40" s="29">
        <v>4.0</v>
      </c>
      <c r="D40" s="29">
        <v>4.0</v>
      </c>
      <c r="E40" s="29">
        <v>4.0</v>
      </c>
      <c r="F40" s="29">
        <v>4.0</v>
      </c>
      <c r="G40" s="29">
        <v>4.0</v>
      </c>
      <c r="H40" s="29">
        <v>4.0</v>
      </c>
      <c r="I40" s="5"/>
      <c r="J40" s="39"/>
      <c r="K40" s="40" t="s">
        <v>42</v>
      </c>
      <c r="L40" s="26">
        <v>1.0</v>
      </c>
      <c r="M40" s="26">
        <v>1.0</v>
      </c>
      <c r="N40" s="26">
        <v>1.0</v>
      </c>
      <c r="O40" s="26">
        <v>1.0</v>
      </c>
      <c r="P40" s="26">
        <v>1.0</v>
      </c>
      <c r="Q40" s="26">
        <v>1.0</v>
      </c>
      <c r="R40" s="5"/>
      <c r="S40" s="39"/>
      <c r="T40" s="40" t="s">
        <v>42</v>
      </c>
      <c r="U40" s="26">
        <v>1.0</v>
      </c>
      <c r="V40" s="26">
        <v>1.0</v>
      </c>
      <c r="W40" s="26">
        <v>1.0</v>
      </c>
      <c r="X40" s="26">
        <v>1.0</v>
      </c>
      <c r="Y40" s="26">
        <v>1.0</v>
      </c>
      <c r="Z40" s="26">
        <v>1.0</v>
      </c>
      <c r="AA40" s="5"/>
      <c r="AB40" s="71"/>
      <c r="AC40" s="58" t="s">
        <v>86</v>
      </c>
      <c r="AD40" s="59"/>
      <c r="AE40" s="60">
        <f>SUM(AC39:AI39)</f>
        <v>37.16666667</v>
      </c>
      <c r="AF40" s="61" t="s">
        <v>87</v>
      </c>
      <c r="AG40" s="62"/>
      <c r="AH40" s="56">
        <f>AVERAGE(AC39:AI39)</f>
        <v>5.30952381</v>
      </c>
      <c r="AI40" s="51"/>
    </row>
    <row r="41">
      <c r="A41" s="41">
        <f>COUNTIF(C34:H57,"=2")/6</f>
        <v>1.666666667</v>
      </c>
      <c r="B41" s="40" t="s">
        <v>43</v>
      </c>
      <c r="C41" s="26">
        <v>1.0</v>
      </c>
      <c r="D41" s="26">
        <v>1.0</v>
      </c>
      <c r="E41" s="26">
        <v>1.0</v>
      </c>
      <c r="F41" s="26">
        <v>1.0</v>
      </c>
      <c r="G41" s="26">
        <v>1.0</v>
      </c>
      <c r="H41" s="26">
        <v>1.0</v>
      </c>
      <c r="I41" s="5"/>
      <c r="J41" s="41">
        <f>COUNTIF(L34:Q57,"=2")/6</f>
        <v>3</v>
      </c>
      <c r="K41" s="40" t="s">
        <v>43</v>
      </c>
      <c r="L41" s="26">
        <v>1.0</v>
      </c>
      <c r="M41" s="26">
        <v>1.0</v>
      </c>
      <c r="N41" s="26">
        <v>1.0</v>
      </c>
      <c r="O41" s="26">
        <v>1.0</v>
      </c>
      <c r="P41" s="26">
        <v>1.0</v>
      </c>
      <c r="Q41" s="26">
        <v>1.0</v>
      </c>
      <c r="R41" s="5"/>
      <c r="S41" s="41">
        <f>COUNTIF(U34:Z57,"=2")/6</f>
        <v>0.5</v>
      </c>
      <c r="T41" s="40" t="s">
        <v>43</v>
      </c>
      <c r="U41" s="26">
        <v>1.0</v>
      </c>
      <c r="V41" s="26">
        <v>1.0</v>
      </c>
      <c r="W41" s="26">
        <v>1.0</v>
      </c>
      <c r="X41" s="26">
        <v>1.0</v>
      </c>
      <c r="Y41" s="26">
        <v>1.0</v>
      </c>
      <c r="Z41" s="26">
        <v>1.0</v>
      </c>
      <c r="AA41" s="5"/>
      <c r="AB41" s="47" t="s">
        <v>98</v>
      </c>
      <c r="AC41" s="56">
        <f>A24</f>
        <v>2.833333333</v>
      </c>
      <c r="AD41" s="56">
        <f>J24</f>
        <v>7.333333333</v>
      </c>
      <c r="AE41" s="56">
        <f>S24</f>
        <v>6.666666667</v>
      </c>
      <c r="AF41" s="56">
        <f>AB24</f>
        <v>2</v>
      </c>
      <c r="AG41" s="56">
        <f>A53</f>
        <v>5</v>
      </c>
      <c r="AH41" s="56">
        <f>J53</f>
        <v>6.666666667</v>
      </c>
      <c r="AI41" s="56">
        <f>S53</f>
        <v>8.5</v>
      </c>
    </row>
    <row r="42">
      <c r="A42" s="44" t="s">
        <v>44</v>
      </c>
      <c r="B42" s="40" t="s">
        <v>45</v>
      </c>
      <c r="C42" s="26">
        <v>1.0</v>
      </c>
      <c r="D42" s="26">
        <v>1.0</v>
      </c>
      <c r="E42" s="26">
        <v>1.0</v>
      </c>
      <c r="F42" s="26">
        <v>1.0</v>
      </c>
      <c r="G42" s="26">
        <v>1.0</v>
      </c>
      <c r="H42" s="26">
        <v>1.0</v>
      </c>
      <c r="I42" s="5"/>
      <c r="J42" s="44" t="s">
        <v>44</v>
      </c>
      <c r="K42" s="40" t="s">
        <v>45</v>
      </c>
      <c r="L42" s="26">
        <v>1.0</v>
      </c>
      <c r="M42" s="26">
        <v>1.0</v>
      </c>
      <c r="N42" s="26">
        <v>1.0</v>
      </c>
      <c r="O42" s="26">
        <v>1.0</v>
      </c>
      <c r="P42" s="26">
        <v>1.0</v>
      </c>
      <c r="Q42" s="26">
        <v>1.0</v>
      </c>
      <c r="R42" s="5"/>
      <c r="S42" s="44" t="s">
        <v>44</v>
      </c>
      <c r="T42" s="40" t="s">
        <v>45</v>
      </c>
      <c r="U42" s="26">
        <v>1.0</v>
      </c>
      <c r="V42" s="26">
        <v>1.0</v>
      </c>
      <c r="W42" s="26">
        <v>1.0</v>
      </c>
      <c r="X42" s="26">
        <v>1.0</v>
      </c>
      <c r="Y42" s="26">
        <v>1.0</v>
      </c>
      <c r="Z42" s="26">
        <v>1.0</v>
      </c>
      <c r="AA42" s="5"/>
      <c r="AB42" s="80"/>
      <c r="AC42" s="58" t="s">
        <v>86</v>
      </c>
      <c r="AD42" s="59"/>
      <c r="AE42" s="60">
        <f>SUM(AC41:AI41)</f>
        <v>39</v>
      </c>
      <c r="AF42" s="61" t="s">
        <v>87</v>
      </c>
      <c r="AG42" s="62"/>
      <c r="AH42" s="56">
        <f>AVERAGE(AC41:AI41)</f>
        <v>5.571428571</v>
      </c>
      <c r="AI42" s="82"/>
    </row>
    <row r="43">
      <c r="A43" s="38"/>
      <c r="B43" s="34" t="s">
        <v>47</v>
      </c>
      <c r="C43" s="26">
        <v>1.0</v>
      </c>
      <c r="D43" s="26">
        <v>1.0</v>
      </c>
      <c r="E43" s="26">
        <v>1.0</v>
      </c>
      <c r="F43" s="26">
        <v>1.0</v>
      </c>
      <c r="G43" s="26">
        <v>1.0</v>
      </c>
      <c r="H43" s="26">
        <v>1.0</v>
      </c>
      <c r="I43" s="5"/>
      <c r="J43" s="38"/>
      <c r="K43" s="34" t="s">
        <v>47</v>
      </c>
      <c r="L43" s="26">
        <v>1.0</v>
      </c>
      <c r="M43" s="26">
        <v>1.0</v>
      </c>
      <c r="N43" s="26">
        <v>1.0</v>
      </c>
      <c r="O43" s="26">
        <v>1.0</v>
      </c>
      <c r="P43" s="26">
        <v>1.0</v>
      </c>
      <c r="Q43" s="26">
        <v>1.0</v>
      </c>
      <c r="R43" s="5"/>
      <c r="S43" s="38"/>
      <c r="T43" s="34" t="s">
        <v>47</v>
      </c>
      <c r="U43" s="26">
        <v>1.0</v>
      </c>
      <c r="V43" s="26">
        <v>1.0</v>
      </c>
      <c r="W43" s="26">
        <v>1.0</v>
      </c>
      <c r="X43" s="26">
        <v>1.0</v>
      </c>
      <c r="Y43" s="26">
        <v>1.0</v>
      </c>
      <c r="Z43" s="26">
        <v>1.0</v>
      </c>
      <c r="AA43" s="5"/>
      <c r="AB43" s="5"/>
      <c r="AC43" s="5"/>
      <c r="AD43" s="5"/>
      <c r="AE43" s="5"/>
      <c r="AF43" s="5"/>
      <c r="AG43" s="5"/>
      <c r="AH43" s="5"/>
      <c r="AI43" s="51"/>
    </row>
    <row r="44">
      <c r="A44" s="39"/>
      <c r="B44" s="40" t="s">
        <v>22</v>
      </c>
      <c r="C44" s="26">
        <v>1.0</v>
      </c>
      <c r="D44" s="26">
        <v>1.0</v>
      </c>
      <c r="E44" s="26">
        <v>1.0</v>
      </c>
      <c r="F44" s="26">
        <v>1.0</v>
      </c>
      <c r="G44" s="26">
        <v>1.0</v>
      </c>
      <c r="H44" s="26">
        <v>1.0</v>
      </c>
      <c r="I44" s="5"/>
      <c r="J44" s="39"/>
      <c r="K44" s="40" t="s">
        <v>22</v>
      </c>
      <c r="L44" s="26">
        <v>1.0</v>
      </c>
      <c r="M44" s="26">
        <v>1.0</v>
      </c>
      <c r="N44" s="26">
        <v>1.0</v>
      </c>
      <c r="O44" s="26">
        <v>1.0</v>
      </c>
      <c r="P44" s="26">
        <v>1.0</v>
      </c>
      <c r="Q44" s="26">
        <v>1.0</v>
      </c>
      <c r="R44" s="5"/>
      <c r="S44" s="39"/>
      <c r="T44" s="40" t="s">
        <v>22</v>
      </c>
      <c r="U44" s="26">
        <v>1.0</v>
      </c>
      <c r="V44" s="26">
        <v>1.0</v>
      </c>
      <c r="W44" s="26">
        <v>1.0</v>
      </c>
      <c r="X44" s="26">
        <v>1.0</v>
      </c>
      <c r="Y44" s="26">
        <v>1.0</v>
      </c>
      <c r="Z44" s="26">
        <v>1.0</v>
      </c>
      <c r="AA44" s="5"/>
      <c r="AB44" s="5"/>
      <c r="AC44" s="5"/>
      <c r="AD44" s="5"/>
      <c r="AE44" s="5"/>
      <c r="AF44" s="5"/>
      <c r="AG44" s="5"/>
      <c r="AH44" s="5"/>
      <c r="AI44" s="51"/>
    </row>
    <row r="45">
      <c r="A45" s="41">
        <f>COUNTIF(C34:H57,"=3")/6</f>
        <v>0.6666666667</v>
      </c>
      <c r="B45" s="40" t="s">
        <v>50</v>
      </c>
      <c r="C45" s="26">
        <v>1.0</v>
      </c>
      <c r="D45" s="26">
        <v>1.0</v>
      </c>
      <c r="E45" s="26">
        <v>1.0</v>
      </c>
      <c r="F45" s="26">
        <v>1.0</v>
      </c>
      <c r="G45" s="26">
        <v>1.0</v>
      </c>
      <c r="H45" s="26">
        <v>1.0</v>
      </c>
      <c r="I45" s="5"/>
      <c r="J45" s="41">
        <f>COUNTIF(L34:Q57,"=3")/6</f>
        <v>0.8333333333</v>
      </c>
      <c r="K45" s="40" t="s">
        <v>50</v>
      </c>
      <c r="L45" s="26">
        <v>1.0</v>
      </c>
      <c r="M45" s="26">
        <v>1.0</v>
      </c>
      <c r="N45" s="26">
        <v>1.0</v>
      </c>
      <c r="O45" s="26">
        <v>1.0</v>
      </c>
      <c r="P45" s="26">
        <v>1.0</v>
      </c>
      <c r="Q45" s="26">
        <v>1.0</v>
      </c>
      <c r="R45" s="5"/>
      <c r="S45" s="41">
        <f>COUNTIF(U34:Z57,"=3")/6</f>
        <v>2</v>
      </c>
      <c r="T45" s="40" t="s">
        <v>50</v>
      </c>
      <c r="U45" s="26">
        <v>1.0</v>
      </c>
      <c r="V45" s="26">
        <v>1.0</v>
      </c>
      <c r="W45" s="26">
        <v>1.0</v>
      </c>
      <c r="X45" s="26">
        <v>1.0</v>
      </c>
      <c r="Y45" s="26">
        <v>1.0</v>
      </c>
      <c r="Z45" s="26">
        <v>1.0</v>
      </c>
      <c r="AA45" s="5"/>
      <c r="AB45" s="5"/>
      <c r="AC45" s="5"/>
      <c r="AD45" s="5"/>
      <c r="AE45" s="5"/>
      <c r="AF45" s="5"/>
      <c r="AG45" s="5"/>
      <c r="AH45" s="5"/>
      <c r="AI45" s="51"/>
    </row>
    <row r="46">
      <c r="A46" s="45" t="s">
        <v>51</v>
      </c>
      <c r="B46" s="40" t="s">
        <v>52</v>
      </c>
      <c r="C46" s="26">
        <v>1.0</v>
      </c>
      <c r="D46" s="26">
        <v>1.0</v>
      </c>
      <c r="E46" s="26">
        <v>1.0</v>
      </c>
      <c r="F46" s="26">
        <v>1.0</v>
      </c>
      <c r="G46" s="26">
        <v>1.0</v>
      </c>
      <c r="H46" s="26">
        <v>1.0</v>
      </c>
      <c r="I46" s="5"/>
      <c r="J46" s="45" t="s">
        <v>51</v>
      </c>
      <c r="K46" s="40" t="s">
        <v>52</v>
      </c>
      <c r="L46" s="26">
        <v>1.0</v>
      </c>
      <c r="M46" s="26">
        <v>1.0</v>
      </c>
      <c r="N46" s="26">
        <v>1.0</v>
      </c>
      <c r="O46" s="26">
        <v>1.0</v>
      </c>
      <c r="P46" s="26">
        <v>1.0</v>
      </c>
      <c r="Q46" s="26">
        <v>1.0</v>
      </c>
      <c r="R46" s="5"/>
      <c r="S46" s="45" t="s">
        <v>51</v>
      </c>
      <c r="T46" s="40" t="s">
        <v>52</v>
      </c>
      <c r="U46" s="26">
        <v>1.0</v>
      </c>
      <c r="V46" s="26">
        <v>1.0</v>
      </c>
      <c r="W46" s="26">
        <v>1.0</v>
      </c>
      <c r="X46" s="26">
        <v>1.0</v>
      </c>
      <c r="Y46" s="26">
        <v>1.0</v>
      </c>
      <c r="Z46" s="26">
        <v>1.0</v>
      </c>
      <c r="AA46" s="5"/>
      <c r="AB46" s="5"/>
      <c r="AC46" s="5"/>
      <c r="AD46" s="5"/>
      <c r="AE46" s="5"/>
      <c r="AF46" s="5"/>
      <c r="AG46" s="5"/>
      <c r="AH46" s="5"/>
      <c r="AI46" s="51"/>
    </row>
    <row r="47">
      <c r="A47" s="36" t="s">
        <v>105</v>
      </c>
      <c r="B47" s="34" t="s">
        <v>54</v>
      </c>
      <c r="C47" s="26">
        <v>1.0</v>
      </c>
      <c r="D47" s="26">
        <v>1.0</v>
      </c>
      <c r="E47" s="26">
        <v>1.0</v>
      </c>
      <c r="F47" s="26">
        <v>1.0</v>
      </c>
      <c r="G47" s="26">
        <v>1.0</v>
      </c>
      <c r="H47" s="26">
        <v>1.0</v>
      </c>
      <c r="I47" s="5"/>
      <c r="J47" s="36" t="s">
        <v>106</v>
      </c>
      <c r="K47" s="34" t="s">
        <v>54</v>
      </c>
      <c r="L47" s="26">
        <v>1.0</v>
      </c>
      <c r="M47" s="26">
        <v>1.0</v>
      </c>
      <c r="N47" s="26">
        <v>1.0</v>
      </c>
      <c r="O47" s="26">
        <v>1.0</v>
      </c>
      <c r="P47" s="26">
        <v>1.0</v>
      </c>
      <c r="Q47" s="26">
        <v>1.0</v>
      </c>
      <c r="R47" s="5"/>
      <c r="S47" s="38"/>
      <c r="T47" s="34" t="s">
        <v>54</v>
      </c>
      <c r="U47" s="26">
        <v>1.0</v>
      </c>
      <c r="V47" s="26">
        <v>1.0</v>
      </c>
      <c r="W47" s="26">
        <v>1.0</v>
      </c>
      <c r="X47" s="26">
        <v>1.0</v>
      </c>
      <c r="Y47" s="26">
        <v>1.0</v>
      </c>
      <c r="Z47" s="26">
        <v>1.0</v>
      </c>
      <c r="AA47" s="5"/>
      <c r="AB47" s="5"/>
      <c r="AC47" s="5"/>
      <c r="AD47" s="5"/>
      <c r="AE47" s="5"/>
      <c r="AF47" s="5"/>
      <c r="AG47" s="5"/>
      <c r="AH47" s="5"/>
      <c r="AI47" s="51"/>
    </row>
    <row r="48">
      <c r="A48" s="46"/>
      <c r="B48" s="40" t="s">
        <v>58</v>
      </c>
      <c r="C48" s="26">
        <v>1.0</v>
      </c>
      <c r="D48" s="26">
        <v>1.0</v>
      </c>
      <c r="E48" s="26">
        <v>1.0</v>
      </c>
      <c r="F48" s="26">
        <v>1.0</v>
      </c>
      <c r="G48" s="26">
        <v>1.0</v>
      </c>
      <c r="H48" s="26">
        <v>1.0</v>
      </c>
      <c r="I48" s="5"/>
      <c r="J48" s="43" t="s">
        <v>107</v>
      </c>
      <c r="K48" s="40" t="s">
        <v>58</v>
      </c>
      <c r="L48" s="26">
        <v>1.0</v>
      </c>
      <c r="M48" s="26">
        <v>1.0</v>
      </c>
      <c r="N48" s="27">
        <v>2.0</v>
      </c>
      <c r="O48" s="27">
        <v>2.0</v>
      </c>
      <c r="P48" s="27">
        <v>2.0</v>
      </c>
      <c r="Q48" s="27">
        <v>2.0</v>
      </c>
      <c r="R48" s="5"/>
      <c r="S48" s="46"/>
      <c r="T48" s="40" t="s">
        <v>58</v>
      </c>
      <c r="U48" s="26">
        <v>1.0</v>
      </c>
      <c r="V48" s="26">
        <v>1.0</v>
      </c>
      <c r="W48" s="26">
        <v>1.0</v>
      </c>
      <c r="X48" s="26">
        <v>1.0</v>
      </c>
      <c r="Y48" s="26">
        <v>1.0</v>
      </c>
      <c r="Z48" s="26">
        <v>1.0</v>
      </c>
      <c r="AA48" s="5"/>
      <c r="AB48" s="5"/>
      <c r="AC48" s="5"/>
      <c r="AD48" s="5"/>
      <c r="AE48" s="5"/>
      <c r="AF48" s="5"/>
      <c r="AG48" s="5"/>
      <c r="AH48" s="5"/>
      <c r="AI48" s="51"/>
    </row>
    <row r="49">
      <c r="A49" s="41">
        <f>COUNTIF(C34:H57,"=4")/6</f>
        <v>6.666666667</v>
      </c>
      <c r="B49" s="40" t="s">
        <v>59</v>
      </c>
      <c r="C49" s="26">
        <v>1.0</v>
      </c>
      <c r="D49" s="26">
        <v>1.0</v>
      </c>
      <c r="E49" s="26">
        <v>1.0</v>
      </c>
      <c r="F49" s="26">
        <v>1.0</v>
      </c>
      <c r="G49" s="26">
        <v>1.0</v>
      </c>
      <c r="H49" s="26">
        <v>1.0</v>
      </c>
      <c r="I49" s="5"/>
      <c r="J49" s="41">
        <f>COUNTIF(L34:Q57,"=4")/6</f>
        <v>5.166666667</v>
      </c>
      <c r="K49" s="40" t="s">
        <v>59</v>
      </c>
      <c r="L49" s="30">
        <v>5.0</v>
      </c>
      <c r="M49" s="30">
        <v>5.0</v>
      </c>
      <c r="N49" s="30">
        <v>5.0</v>
      </c>
      <c r="O49" s="30">
        <v>5.0</v>
      </c>
      <c r="P49" s="30">
        <v>5.0</v>
      </c>
      <c r="Q49" s="30">
        <v>5.0</v>
      </c>
      <c r="R49" s="5"/>
      <c r="S49" s="41">
        <f>COUNTIF(U34:Z57,"=4")/6</f>
        <v>3</v>
      </c>
      <c r="T49" s="40" t="s">
        <v>59</v>
      </c>
      <c r="U49" s="28">
        <v>3.0</v>
      </c>
      <c r="V49" s="28">
        <v>3.0</v>
      </c>
      <c r="W49" s="28">
        <v>3.0</v>
      </c>
      <c r="X49" s="28">
        <v>3.0</v>
      </c>
      <c r="Y49" s="28">
        <v>3.0</v>
      </c>
      <c r="Z49" s="28">
        <v>3.0</v>
      </c>
      <c r="AA49" s="5"/>
      <c r="AB49" s="5"/>
      <c r="AC49" s="5"/>
      <c r="AD49" s="5"/>
      <c r="AE49" s="5"/>
      <c r="AF49" s="5"/>
      <c r="AG49" s="5"/>
      <c r="AH49" s="5"/>
      <c r="AI49" s="51"/>
    </row>
    <row r="50">
      <c r="A50" s="47" t="s">
        <v>60</v>
      </c>
      <c r="B50" s="40" t="s">
        <v>61</v>
      </c>
      <c r="C50" s="26">
        <v>1.0</v>
      </c>
      <c r="D50" s="26">
        <v>1.0</v>
      </c>
      <c r="E50" s="26">
        <v>1.0</v>
      </c>
      <c r="F50" s="26">
        <v>1.0</v>
      </c>
      <c r="G50" s="26">
        <v>1.0</v>
      </c>
      <c r="H50" s="26">
        <v>1.0</v>
      </c>
      <c r="I50" s="5"/>
      <c r="J50" s="47" t="s">
        <v>60</v>
      </c>
      <c r="K50" s="40" t="s">
        <v>61</v>
      </c>
      <c r="L50" s="30">
        <v>5.0</v>
      </c>
      <c r="M50" s="30">
        <v>5.0</v>
      </c>
      <c r="N50" s="30">
        <v>5.0</v>
      </c>
      <c r="O50" s="30">
        <v>5.0</v>
      </c>
      <c r="P50" s="30">
        <v>5.0</v>
      </c>
      <c r="Q50" s="30">
        <v>5.0</v>
      </c>
      <c r="R50" s="5"/>
      <c r="S50" s="47" t="s">
        <v>60</v>
      </c>
      <c r="T50" s="40" t="s">
        <v>61</v>
      </c>
      <c r="U50" s="28">
        <v>3.0</v>
      </c>
      <c r="V50" s="28">
        <v>3.0</v>
      </c>
      <c r="W50" s="28">
        <v>3.0</v>
      </c>
      <c r="X50" s="28">
        <v>3.0</v>
      </c>
      <c r="Y50" s="28">
        <v>3.0</v>
      </c>
      <c r="Z50" s="28">
        <v>3.0</v>
      </c>
      <c r="AA50" s="5"/>
      <c r="AB50" s="5"/>
      <c r="AC50" s="5"/>
      <c r="AD50" s="5"/>
      <c r="AE50" s="5"/>
      <c r="AF50" s="5"/>
      <c r="AG50" s="5"/>
      <c r="AH50" s="5"/>
      <c r="AI50" s="51"/>
    </row>
    <row r="51">
      <c r="A51" s="36" t="s">
        <v>110</v>
      </c>
      <c r="B51" s="34" t="s">
        <v>63</v>
      </c>
      <c r="C51" s="28">
        <v>3.0</v>
      </c>
      <c r="D51" s="28">
        <v>3.0</v>
      </c>
      <c r="E51" s="27">
        <v>2.0</v>
      </c>
      <c r="F51" s="27">
        <v>2.0</v>
      </c>
      <c r="G51" s="27">
        <v>2.0</v>
      </c>
      <c r="H51" s="27">
        <v>2.0</v>
      </c>
      <c r="I51" s="5"/>
      <c r="J51" s="36" t="s">
        <v>111</v>
      </c>
      <c r="K51" s="34" t="s">
        <v>63</v>
      </c>
      <c r="L51" s="30">
        <v>5.0</v>
      </c>
      <c r="M51" s="30">
        <v>5.0</v>
      </c>
      <c r="N51" s="30">
        <v>5.0</v>
      </c>
      <c r="O51" s="30">
        <v>5.0</v>
      </c>
      <c r="P51" s="30">
        <v>5.0</v>
      </c>
      <c r="Q51" s="30">
        <v>5.0</v>
      </c>
      <c r="R51" s="5"/>
      <c r="S51" s="38"/>
      <c r="T51" s="34" t="s">
        <v>63</v>
      </c>
      <c r="U51" s="30">
        <v>5.0</v>
      </c>
      <c r="V51" s="30">
        <v>5.0</v>
      </c>
      <c r="W51" s="30">
        <v>5.0</v>
      </c>
      <c r="X51" s="30">
        <v>5.0</v>
      </c>
      <c r="Y51" s="30">
        <v>5.0</v>
      </c>
      <c r="Z51" s="30">
        <v>5.0</v>
      </c>
      <c r="AA51" s="5"/>
      <c r="AB51" s="5"/>
      <c r="AC51" s="5"/>
      <c r="AD51" s="5"/>
      <c r="AE51" s="5"/>
      <c r="AF51" s="5"/>
      <c r="AG51" s="5"/>
      <c r="AH51" s="5"/>
      <c r="AI51" s="51"/>
    </row>
    <row r="52">
      <c r="A52" s="46"/>
      <c r="B52" s="40" t="s">
        <v>67</v>
      </c>
      <c r="C52" s="27">
        <v>2.0</v>
      </c>
      <c r="D52" s="27">
        <v>2.0</v>
      </c>
      <c r="E52" s="27">
        <v>2.0</v>
      </c>
      <c r="F52" s="27">
        <v>2.0</v>
      </c>
      <c r="G52" s="27">
        <v>2.0</v>
      </c>
      <c r="H52" s="27">
        <v>2.0</v>
      </c>
      <c r="I52" s="5"/>
      <c r="J52" s="43" t="s">
        <v>112</v>
      </c>
      <c r="K52" s="40" t="s">
        <v>67</v>
      </c>
      <c r="L52" s="30">
        <v>5.0</v>
      </c>
      <c r="M52" s="27">
        <v>2.0</v>
      </c>
      <c r="N52" s="27">
        <v>2.0</v>
      </c>
      <c r="O52" s="29">
        <v>4.0</v>
      </c>
      <c r="P52" s="29">
        <v>4.0</v>
      </c>
      <c r="Q52" s="29">
        <v>4.0</v>
      </c>
      <c r="R52" s="5"/>
      <c r="S52" s="46"/>
      <c r="T52" s="40" t="s">
        <v>67</v>
      </c>
      <c r="U52" s="30">
        <v>5.0</v>
      </c>
      <c r="V52" s="30">
        <v>5.0</v>
      </c>
      <c r="W52" s="30">
        <v>5.0</v>
      </c>
      <c r="X52" s="30">
        <v>5.0</v>
      </c>
      <c r="Y52" s="30">
        <v>5.0</v>
      </c>
      <c r="Z52" s="30">
        <v>5.0</v>
      </c>
      <c r="AA52" s="5"/>
      <c r="AB52" s="5"/>
      <c r="AC52" s="5"/>
      <c r="AD52" s="5"/>
      <c r="AE52" s="5"/>
      <c r="AF52" s="5"/>
      <c r="AG52" s="5"/>
      <c r="AH52" s="5"/>
      <c r="AI52" s="51"/>
    </row>
    <row r="53">
      <c r="A53" s="41">
        <f>COUNTIF(C34:H57,"=5")/6</f>
        <v>5</v>
      </c>
      <c r="B53" s="40" t="s">
        <v>68</v>
      </c>
      <c r="C53" s="30">
        <v>5.0</v>
      </c>
      <c r="D53" s="30">
        <v>5.0</v>
      </c>
      <c r="E53" s="30">
        <v>5.0</v>
      </c>
      <c r="F53" s="30">
        <v>5.0</v>
      </c>
      <c r="G53" s="30">
        <v>5.0</v>
      </c>
      <c r="H53" s="30">
        <v>5.0</v>
      </c>
      <c r="I53" s="5"/>
      <c r="J53" s="41">
        <f>COUNTIF(L34:Q57,"=5")/6</f>
        <v>6.666666667</v>
      </c>
      <c r="K53" s="40" t="s">
        <v>68</v>
      </c>
      <c r="L53" s="29">
        <v>4.0</v>
      </c>
      <c r="M53" s="29">
        <v>4.0</v>
      </c>
      <c r="N53" s="29">
        <v>4.0</v>
      </c>
      <c r="O53" s="29">
        <v>4.0</v>
      </c>
      <c r="P53" s="29">
        <v>4.0</v>
      </c>
      <c r="Q53" s="29">
        <v>4.0</v>
      </c>
      <c r="R53" s="5"/>
      <c r="S53" s="41">
        <f>COUNTIF(U34:Z57,"=5")/6</f>
        <v>8.5</v>
      </c>
      <c r="T53" s="40" t="s">
        <v>68</v>
      </c>
      <c r="U53" s="30">
        <v>5.0</v>
      </c>
      <c r="V53" s="30">
        <v>5.0</v>
      </c>
      <c r="W53" s="30">
        <v>5.0</v>
      </c>
      <c r="X53" s="30">
        <v>5.0</v>
      </c>
      <c r="Y53" s="30">
        <v>5.0</v>
      </c>
      <c r="Z53" s="30">
        <v>5.0</v>
      </c>
      <c r="AA53" s="5"/>
      <c r="AB53" s="5"/>
      <c r="AC53" s="5"/>
      <c r="AD53" s="5"/>
      <c r="AE53" s="5"/>
      <c r="AF53" s="5"/>
      <c r="AG53" s="5"/>
      <c r="AH53" s="5"/>
      <c r="AI53" s="51"/>
    </row>
    <row r="54">
      <c r="A54" s="48" t="s">
        <v>69</v>
      </c>
      <c r="B54" s="40" t="s">
        <v>23</v>
      </c>
      <c r="C54" s="30">
        <v>5.0</v>
      </c>
      <c r="D54" s="30">
        <v>5.0</v>
      </c>
      <c r="E54" s="30">
        <v>5.0</v>
      </c>
      <c r="F54" s="30">
        <v>5.0</v>
      </c>
      <c r="G54" s="30">
        <v>5.0</v>
      </c>
      <c r="H54" s="30">
        <v>5.0</v>
      </c>
      <c r="I54" s="5"/>
      <c r="J54" s="48" t="s">
        <v>69</v>
      </c>
      <c r="K54" s="40" t="s">
        <v>23</v>
      </c>
      <c r="L54" s="29">
        <v>4.0</v>
      </c>
      <c r="M54" s="29">
        <v>4.0</v>
      </c>
      <c r="N54" s="29">
        <v>4.0</v>
      </c>
      <c r="O54" s="29">
        <v>4.0</v>
      </c>
      <c r="P54" s="29">
        <v>4.0</v>
      </c>
      <c r="Q54" s="29">
        <v>4.0</v>
      </c>
      <c r="R54" s="5"/>
      <c r="S54" s="48" t="s">
        <v>69</v>
      </c>
      <c r="T54" s="40" t="s">
        <v>23</v>
      </c>
      <c r="U54" s="30">
        <v>5.0</v>
      </c>
      <c r="V54" s="30">
        <v>5.0</v>
      </c>
      <c r="W54" s="30">
        <v>5.0</v>
      </c>
      <c r="X54" s="30">
        <v>5.0</v>
      </c>
      <c r="Y54" s="30">
        <v>5.0</v>
      </c>
      <c r="Z54" s="30">
        <v>5.0</v>
      </c>
      <c r="AA54" s="5"/>
      <c r="AB54" s="5"/>
      <c r="AC54" s="5"/>
      <c r="AD54" s="5"/>
      <c r="AE54" s="5"/>
      <c r="AF54" s="5"/>
      <c r="AG54" s="5"/>
      <c r="AH54" s="5"/>
      <c r="AI54" s="51"/>
    </row>
    <row r="55">
      <c r="A55" s="43" t="s">
        <v>113</v>
      </c>
      <c r="B55" s="34" t="s">
        <v>70</v>
      </c>
      <c r="C55" s="30">
        <v>5.0</v>
      </c>
      <c r="D55" s="30">
        <v>5.0</v>
      </c>
      <c r="E55" s="30">
        <v>5.0</v>
      </c>
      <c r="F55" s="30">
        <v>5.0</v>
      </c>
      <c r="G55" s="30">
        <v>5.0</v>
      </c>
      <c r="H55" s="30">
        <v>5.0</v>
      </c>
      <c r="I55" s="5"/>
      <c r="J55" s="43" t="s">
        <v>114</v>
      </c>
      <c r="K55" s="34" t="s">
        <v>70</v>
      </c>
      <c r="L55" s="29">
        <v>4.0</v>
      </c>
      <c r="M55" s="27">
        <v>2.0</v>
      </c>
      <c r="N55" s="27">
        <v>2.0</v>
      </c>
      <c r="O55" s="27">
        <v>2.0</v>
      </c>
      <c r="P55" s="27">
        <v>2.0</v>
      </c>
      <c r="Q55" s="27">
        <v>2.0</v>
      </c>
      <c r="R55" s="5"/>
      <c r="S55" s="46"/>
      <c r="T55" s="34" t="s">
        <v>70</v>
      </c>
      <c r="U55" s="30">
        <v>5.0</v>
      </c>
      <c r="V55" s="30">
        <v>5.0</v>
      </c>
      <c r="W55" s="30">
        <v>5.0</v>
      </c>
      <c r="X55" s="30">
        <v>5.0</v>
      </c>
      <c r="Y55" s="30">
        <v>5.0</v>
      </c>
      <c r="Z55" s="30">
        <v>5.0</v>
      </c>
      <c r="AA55" s="5"/>
      <c r="AB55" s="5"/>
      <c r="AC55" s="5"/>
      <c r="AD55" s="5"/>
      <c r="AE55" s="5"/>
      <c r="AF55" s="5"/>
      <c r="AG55" s="5"/>
      <c r="AH55" s="5"/>
      <c r="AI55" s="51"/>
    </row>
    <row r="56">
      <c r="A56" s="39"/>
      <c r="B56" s="34" t="s">
        <v>72</v>
      </c>
      <c r="C56" s="30">
        <v>5.0</v>
      </c>
      <c r="D56" s="30">
        <v>5.0</v>
      </c>
      <c r="E56" s="30">
        <v>5.0</v>
      </c>
      <c r="F56" s="30">
        <v>5.0</v>
      </c>
      <c r="G56" s="30">
        <v>5.0</v>
      </c>
      <c r="H56" s="30">
        <v>5.0</v>
      </c>
      <c r="I56" s="5"/>
      <c r="J56" s="39"/>
      <c r="K56" s="34" t="s">
        <v>72</v>
      </c>
      <c r="L56" s="30">
        <v>5.0</v>
      </c>
      <c r="M56" s="30">
        <v>5.0</v>
      </c>
      <c r="N56" s="30">
        <v>5.0</v>
      </c>
      <c r="O56" s="30">
        <v>5.0</v>
      </c>
      <c r="P56" s="30">
        <v>5.0</v>
      </c>
      <c r="Q56" s="30">
        <v>5.0</v>
      </c>
      <c r="R56" s="5"/>
      <c r="S56" s="39"/>
      <c r="T56" s="34" t="s">
        <v>72</v>
      </c>
      <c r="U56" s="30">
        <v>5.0</v>
      </c>
      <c r="V56" s="30">
        <v>5.0</v>
      </c>
      <c r="W56" s="30">
        <v>5.0</v>
      </c>
      <c r="X56" s="30">
        <v>5.0</v>
      </c>
      <c r="Y56" s="30">
        <v>5.0</v>
      </c>
      <c r="Z56" s="30">
        <v>5.0</v>
      </c>
      <c r="AA56" s="5"/>
      <c r="AB56" s="5"/>
      <c r="AC56" s="5"/>
      <c r="AD56" s="5"/>
      <c r="AE56" s="5"/>
      <c r="AF56" s="5"/>
      <c r="AG56" s="5"/>
      <c r="AH56" s="5"/>
      <c r="AI56" s="51"/>
    </row>
    <row r="57">
      <c r="A57" s="49"/>
      <c r="B57" s="34" t="s">
        <v>73</v>
      </c>
      <c r="C57" s="30">
        <v>5.0</v>
      </c>
      <c r="D57" s="30">
        <v>5.0</v>
      </c>
      <c r="E57" s="30">
        <v>5.0</v>
      </c>
      <c r="F57" s="30">
        <v>5.0</v>
      </c>
      <c r="G57" s="30">
        <v>5.0</v>
      </c>
      <c r="H57" s="30">
        <v>5.0</v>
      </c>
      <c r="I57" s="5"/>
      <c r="J57" s="49"/>
      <c r="K57" s="34" t="s">
        <v>73</v>
      </c>
      <c r="L57" s="30">
        <v>5.0</v>
      </c>
      <c r="M57" s="30">
        <v>5.0</v>
      </c>
      <c r="N57" s="30">
        <v>5.0</v>
      </c>
      <c r="O57" s="30">
        <v>5.0</v>
      </c>
      <c r="P57" s="30">
        <v>5.0</v>
      </c>
      <c r="Q57" s="30">
        <v>5.0</v>
      </c>
      <c r="R57" s="5"/>
      <c r="S57" s="49"/>
      <c r="T57" s="34" t="s">
        <v>73</v>
      </c>
      <c r="U57" s="30">
        <v>5.0</v>
      </c>
      <c r="V57" s="30">
        <v>5.0</v>
      </c>
      <c r="W57" s="30">
        <v>5.0</v>
      </c>
      <c r="X57" s="30">
        <v>5.0</v>
      </c>
      <c r="Y57" s="30">
        <v>5.0</v>
      </c>
      <c r="Z57" s="30">
        <v>5.0</v>
      </c>
      <c r="AA57" s="5"/>
      <c r="AB57" s="5"/>
      <c r="AC57" s="5"/>
      <c r="AD57" s="5"/>
      <c r="AE57" s="5"/>
      <c r="AF57" s="5"/>
      <c r="AG57" s="5"/>
      <c r="AH57" s="5"/>
      <c r="AI57" s="51"/>
    </row>
    <row r="58">
      <c r="A58" s="50">
        <f>SUM(A37,A41,A45,A49,A53)</f>
        <v>24</v>
      </c>
      <c r="B58" s="5"/>
      <c r="C58" s="5"/>
      <c r="D58" s="5"/>
      <c r="E58" s="5"/>
      <c r="F58" s="5"/>
      <c r="G58" s="5"/>
      <c r="H58" s="5"/>
      <c r="I58" s="5"/>
      <c r="J58" s="50">
        <f>SUM(J37,J41,J45,J49,J53)</f>
        <v>24</v>
      </c>
      <c r="K58" s="5"/>
      <c r="L58" s="5"/>
      <c r="M58" s="5"/>
      <c r="N58" s="5"/>
      <c r="O58" s="5"/>
      <c r="P58" s="5"/>
      <c r="Q58" s="5"/>
      <c r="R58" s="5"/>
      <c r="S58" s="50">
        <f>SUM(S37,S41,S45,S49,S53)</f>
        <v>24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1"/>
    </row>
    <row r="59">
      <c r="A59" s="86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2"/>
    </row>
    <row r="60">
      <c r="A60" s="90" t="s">
        <v>118</v>
      </c>
      <c r="B60" s="91"/>
      <c r="C60" s="91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4"/>
    </row>
    <row r="61">
      <c r="A61" s="53"/>
      <c r="B61" s="5"/>
      <c r="C61" s="5"/>
      <c r="D61" s="5"/>
      <c r="E61" s="5"/>
      <c r="F61" s="5"/>
      <c r="G61" s="5"/>
      <c r="H61" s="5"/>
      <c r="I61" s="5"/>
      <c r="J61" s="95"/>
      <c r="K61" s="5"/>
      <c r="L61" s="5"/>
      <c r="M61" s="5"/>
      <c r="N61" s="5"/>
      <c r="O61" s="5"/>
      <c r="P61" s="5"/>
      <c r="Q61" s="5"/>
      <c r="R61" s="5"/>
      <c r="S61" s="37"/>
      <c r="T61" s="5"/>
      <c r="U61" s="5"/>
      <c r="V61" s="5"/>
      <c r="W61" s="5"/>
      <c r="X61" s="5"/>
      <c r="Y61" s="5"/>
      <c r="Z61" s="5"/>
      <c r="AA61" s="5"/>
      <c r="AB61" s="37"/>
      <c r="AC61" s="5"/>
      <c r="AD61" s="5"/>
      <c r="AE61" s="5"/>
      <c r="AF61" s="5"/>
      <c r="AG61" s="5"/>
      <c r="AH61" s="5"/>
      <c r="AI61" s="51"/>
    </row>
    <row r="62">
      <c r="A62" s="23" t="s">
        <v>120</v>
      </c>
      <c r="B62" s="24" t="s">
        <v>16</v>
      </c>
      <c r="C62" s="25"/>
      <c r="D62" s="26">
        <v>1.0</v>
      </c>
      <c r="E62" s="27">
        <v>2.0</v>
      </c>
      <c r="F62" s="28">
        <v>3.0</v>
      </c>
      <c r="G62" s="29">
        <v>4.0</v>
      </c>
      <c r="H62" s="30">
        <v>5.0</v>
      </c>
      <c r="I62" s="5"/>
      <c r="J62" s="23" t="s">
        <v>121</v>
      </c>
      <c r="K62" s="24" t="s">
        <v>16</v>
      </c>
      <c r="L62" s="25"/>
      <c r="M62" s="26">
        <v>1.0</v>
      </c>
      <c r="N62" s="27">
        <v>2.0</v>
      </c>
      <c r="O62" s="28">
        <v>3.0</v>
      </c>
      <c r="P62" s="29">
        <v>4.0</v>
      </c>
      <c r="Q62" s="30">
        <v>5.0</v>
      </c>
      <c r="R62" s="5"/>
      <c r="S62" s="23" t="s">
        <v>122</v>
      </c>
      <c r="T62" s="24" t="s">
        <v>16</v>
      </c>
      <c r="U62" s="25"/>
      <c r="V62" s="26">
        <v>1.0</v>
      </c>
      <c r="W62" s="27">
        <v>2.0</v>
      </c>
      <c r="X62" s="28">
        <v>3.0</v>
      </c>
      <c r="Y62" s="29">
        <v>4.0</v>
      </c>
      <c r="Z62" s="30">
        <v>5.0</v>
      </c>
      <c r="AA62" s="5"/>
      <c r="AB62" s="23" t="s">
        <v>123</v>
      </c>
      <c r="AC62" s="24" t="s">
        <v>16</v>
      </c>
      <c r="AD62" s="25"/>
      <c r="AE62" s="26">
        <v>1.0</v>
      </c>
      <c r="AF62" s="27">
        <v>2.0</v>
      </c>
      <c r="AG62" s="28">
        <v>3.0</v>
      </c>
      <c r="AH62" s="29">
        <v>4.0</v>
      </c>
      <c r="AI62" s="30">
        <v>5.0</v>
      </c>
    </row>
    <row r="63">
      <c r="A63" s="31" t="s">
        <v>20</v>
      </c>
      <c r="B63" s="32" t="s">
        <v>21</v>
      </c>
      <c r="C63" s="32" t="s">
        <v>22</v>
      </c>
      <c r="D63" s="32" t="s">
        <v>23</v>
      </c>
      <c r="E63" s="32" t="s">
        <v>24</v>
      </c>
      <c r="F63" s="32" t="s">
        <v>25</v>
      </c>
      <c r="G63" s="32" t="s">
        <v>26</v>
      </c>
      <c r="H63" s="32" t="s">
        <v>27</v>
      </c>
      <c r="I63" s="5"/>
      <c r="J63" s="31" t="s">
        <v>20</v>
      </c>
      <c r="K63" s="32" t="s">
        <v>21</v>
      </c>
      <c r="L63" s="32" t="s">
        <v>22</v>
      </c>
      <c r="M63" s="32" t="s">
        <v>23</v>
      </c>
      <c r="N63" s="32" t="s">
        <v>24</v>
      </c>
      <c r="O63" s="32" t="s">
        <v>25</v>
      </c>
      <c r="P63" s="32" t="s">
        <v>26</v>
      </c>
      <c r="Q63" s="32" t="s">
        <v>27</v>
      </c>
      <c r="R63" s="5"/>
      <c r="S63" s="31" t="s">
        <v>20</v>
      </c>
      <c r="T63" s="32" t="s">
        <v>21</v>
      </c>
      <c r="U63" s="32" t="s">
        <v>22</v>
      </c>
      <c r="V63" s="32" t="s">
        <v>23</v>
      </c>
      <c r="W63" s="32" t="s">
        <v>24</v>
      </c>
      <c r="X63" s="32" t="s">
        <v>25</v>
      </c>
      <c r="Y63" s="32" t="s">
        <v>26</v>
      </c>
      <c r="Z63" s="32" t="s">
        <v>27</v>
      </c>
      <c r="AA63" s="5"/>
      <c r="AB63" s="31" t="s">
        <v>20</v>
      </c>
      <c r="AC63" s="32" t="s">
        <v>21</v>
      </c>
      <c r="AD63" s="32" t="s">
        <v>22</v>
      </c>
      <c r="AE63" s="32" t="s">
        <v>23</v>
      </c>
      <c r="AF63" s="32" t="s">
        <v>24</v>
      </c>
      <c r="AG63" s="32" t="s">
        <v>25</v>
      </c>
      <c r="AH63" s="32" t="s">
        <v>26</v>
      </c>
      <c r="AI63" s="32" t="s">
        <v>27</v>
      </c>
    </row>
    <row r="64">
      <c r="A64" s="33" t="s">
        <v>28</v>
      </c>
      <c r="B64" s="34" t="s">
        <v>21</v>
      </c>
      <c r="C64" s="27">
        <v>2.0</v>
      </c>
      <c r="D64" s="27">
        <v>2.0</v>
      </c>
      <c r="E64" s="28">
        <v>3.0</v>
      </c>
      <c r="F64" s="28">
        <v>3.0</v>
      </c>
      <c r="G64" s="29">
        <v>4.0</v>
      </c>
      <c r="H64" s="29">
        <v>4.0</v>
      </c>
      <c r="I64" s="5"/>
      <c r="J64" s="33" t="s">
        <v>28</v>
      </c>
      <c r="K64" s="34" t="s">
        <v>21</v>
      </c>
      <c r="L64" s="29">
        <v>4.0</v>
      </c>
      <c r="M64" s="29">
        <v>4.0</v>
      </c>
      <c r="N64" s="29">
        <v>4.0</v>
      </c>
      <c r="O64" s="29">
        <v>4.0</v>
      </c>
      <c r="P64" s="29">
        <v>4.0</v>
      </c>
      <c r="Q64" s="29">
        <v>4.0</v>
      </c>
      <c r="R64" s="5"/>
      <c r="S64" s="35" t="s">
        <v>28</v>
      </c>
      <c r="T64" s="34" t="s">
        <v>21</v>
      </c>
      <c r="U64" s="29">
        <v>4.0</v>
      </c>
      <c r="V64" s="29">
        <v>4.0</v>
      </c>
      <c r="W64" s="29">
        <v>4.0</v>
      </c>
      <c r="X64" s="29">
        <v>4.0</v>
      </c>
      <c r="Y64" s="29">
        <v>4.0</v>
      </c>
      <c r="Z64" s="29">
        <v>4.0</v>
      </c>
      <c r="AA64" s="5"/>
      <c r="AB64" s="35" t="s">
        <v>28</v>
      </c>
      <c r="AC64" s="34" t="s">
        <v>21</v>
      </c>
      <c r="AD64" s="28">
        <v>3.0</v>
      </c>
      <c r="AE64" s="28">
        <v>3.0</v>
      </c>
      <c r="AF64" s="28">
        <v>3.0</v>
      </c>
      <c r="AG64" s="28">
        <v>3.0</v>
      </c>
      <c r="AH64" s="28">
        <v>3.0</v>
      </c>
      <c r="AI64" s="28">
        <v>3.0</v>
      </c>
    </row>
    <row r="65">
      <c r="A65" s="38"/>
      <c r="B65" s="34" t="s">
        <v>30</v>
      </c>
      <c r="C65" s="29">
        <v>4.0</v>
      </c>
      <c r="D65" s="29">
        <v>4.0</v>
      </c>
      <c r="E65" s="29">
        <v>4.0</v>
      </c>
      <c r="F65" s="29">
        <v>4.0</v>
      </c>
      <c r="G65" s="29">
        <v>4.0</v>
      </c>
      <c r="H65" s="29">
        <v>4.0</v>
      </c>
      <c r="I65" s="37" t="s">
        <v>31</v>
      </c>
      <c r="J65" s="38"/>
      <c r="K65" s="34" t="s">
        <v>30</v>
      </c>
      <c r="L65" s="28">
        <v>3.0</v>
      </c>
      <c r="M65" s="28">
        <v>3.0</v>
      </c>
      <c r="N65" s="28">
        <v>3.0</v>
      </c>
      <c r="O65" s="28">
        <v>3.0</v>
      </c>
      <c r="P65" s="28">
        <v>3.0</v>
      </c>
      <c r="Q65" s="28">
        <v>3.0</v>
      </c>
      <c r="R65" s="5"/>
      <c r="S65" s="38"/>
      <c r="T65" s="34" t="s">
        <v>30</v>
      </c>
      <c r="U65" s="27">
        <v>2.0</v>
      </c>
      <c r="V65" s="27">
        <v>2.0</v>
      </c>
      <c r="W65" s="27">
        <v>2.0</v>
      </c>
      <c r="X65" s="26">
        <v>1.0</v>
      </c>
      <c r="Y65" s="26">
        <v>1.0</v>
      </c>
      <c r="Z65" s="26">
        <v>1.0</v>
      </c>
      <c r="AA65" s="5"/>
      <c r="AB65" s="38"/>
      <c r="AC65" s="34" t="s">
        <v>30</v>
      </c>
      <c r="AD65" s="28">
        <v>3.0</v>
      </c>
      <c r="AE65" s="28">
        <v>3.0</v>
      </c>
      <c r="AF65" s="28">
        <v>3.0</v>
      </c>
      <c r="AG65" s="28">
        <v>3.0</v>
      </c>
      <c r="AH65" s="28">
        <v>3.0</v>
      </c>
      <c r="AI65" s="28">
        <v>3.0</v>
      </c>
    </row>
    <row r="66">
      <c r="A66" s="39"/>
      <c r="B66" s="40" t="s">
        <v>33</v>
      </c>
      <c r="C66" s="27">
        <v>2.0</v>
      </c>
      <c r="D66" s="27">
        <v>2.0</v>
      </c>
      <c r="E66" s="29">
        <v>4.0</v>
      </c>
      <c r="F66" s="29">
        <v>4.0</v>
      </c>
      <c r="G66" s="29">
        <v>4.0</v>
      </c>
      <c r="H66" s="29">
        <v>4.0</v>
      </c>
      <c r="I66" s="5"/>
      <c r="J66" s="39"/>
      <c r="K66" s="40" t="s">
        <v>33</v>
      </c>
      <c r="L66" s="28">
        <v>3.0</v>
      </c>
      <c r="M66" s="28">
        <v>3.0</v>
      </c>
      <c r="N66" s="28">
        <v>3.0</v>
      </c>
      <c r="O66" s="28">
        <v>3.0</v>
      </c>
      <c r="P66" s="28">
        <v>3.0</v>
      </c>
      <c r="Q66" s="28">
        <v>3.0</v>
      </c>
      <c r="R66" s="5"/>
      <c r="S66" s="39"/>
      <c r="T66" s="40" t="s">
        <v>33</v>
      </c>
      <c r="U66" s="26">
        <v>1.0</v>
      </c>
      <c r="V66" s="26">
        <v>1.0</v>
      </c>
      <c r="W66" s="26">
        <v>1.0</v>
      </c>
      <c r="X66" s="26">
        <v>1.0</v>
      </c>
      <c r="Y66" s="26">
        <v>1.0</v>
      </c>
      <c r="Z66" s="26">
        <v>1.0</v>
      </c>
      <c r="AA66" s="5"/>
      <c r="AB66" s="39"/>
      <c r="AC66" s="40" t="s">
        <v>33</v>
      </c>
      <c r="AD66" s="28">
        <v>3.0</v>
      </c>
      <c r="AE66" s="28">
        <v>3.0</v>
      </c>
      <c r="AF66" s="28">
        <v>3.0</v>
      </c>
      <c r="AG66" s="28">
        <v>3.0</v>
      </c>
      <c r="AH66" s="28">
        <v>3.0</v>
      </c>
      <c r="AI66" s="28">
        <v>3.0</v>
      </c>
    </row>
    <row r="67">
      <c r="A67" s="41">
        <f>COUNTIF(C64:H87,"=1")/6</f>
        <v>6.166666667</v>
      </c>
      <c r="B67" s="40" t="s">
        <v>34</v>
      </c>
      <c r="C67" s="29">
        <v>4.0</v>
      </c>
      <c r="D67" s="29">
        <v>4.0</v>
      </c>
      <c r="E67" s="29">
        <v>4.0</v>
      </c>
      <c r="F67" s="29">
        <v>4.0</v>
      </c>
      <c r="G67" s="29">
        <v>4.0</v>
      </c>
      <c r="H67" s="29">
        <v>4.0</v>
      </c>
      <c r="I67" s="5"/>
      <c r="J67" s="41">
        <f>COUNTIF(L64:Q87,"=1")/6</f>
        <v>9</v>
      </c>
      <c r="K67" s="40" t="s">
        <v>34</v>
      </c>
      <c r="L67" s="28">
        <v>3.0</v>
      </c>
      <c r="M67" s="28">
        <v>3.0</v>
      </c>
      <c r="N67" s="28">
        <v>3.0</v>
      </c>
      <c r="O67" s="28">
        <v>3.0</v>
      </c>
      <c r="P67" s="28">
        <v>3.0</v>
      </c>
      <c r="Q67" s="28">
        <v>3.0</v>
      </c>
      <c r="R67" s="5"/>
      <c r="S67" s="41">
        <f>COUNTIF(U64:Z87,"=1")/6</f>
        <v>9.5</v>
      </c>
      <c r="T67" s="40" t="s">
        <v>34</v>
      </c>
      <c r="U67" s="26">
        <v>1.0</v>
      </c>
      <c r="V67" s="26">
        <v>1.0</v>
      </c>
      <c r="W67" s="26">
        <v>1.0</v>
      </c>
      <c r="X67" s="26">
        <v>1.0</v>
      </c>
      <c r="Y67" s="26">
        <v>1.0</v>
      </c>
      <c r="Z67" s="26">
        <v>1.0</v>
      </c>
      <c r="AA67" s="5"/>
      <c r="AB67" s="41">
        <f>COUNTIF(AD64:AI87,"=1")/6</f>
        <v>10</v>
      </c>
      <c r="AC67" s="40" t="s">
        <v>34</v>
      </c>
      <c r="AD67" s="26">
        <v>1.0</v>
      </c>
      <c r="AE67" s="26">
        <v>1.0</v>
      </c>
      <c r="AF67" s="26">
        <v>1.0</v>
      </c>
      <c r="AG67" s="26">
        <v>1.0</v>
      </c>
      <c r="AH67" s="26">
        <v>1.0</v>
      </c>
      <c r="AI67" s="26">
        <v>1.0</v>
      </c>
    </row>
    <row r="68">
      <c r="A68" s="42" t="s">
        <v>35</v>
      </c>
      <c r="B68" s="40" t="s">
        <v>36</v>
      </c>
      <c r="C68" s="29">
        <v>4.0</v>
      </c>
      <c r="D68" s="29">
        <v>4.0</v>
      </c>
      <c r="E68" s="29">
        <v>4.0</v>
      </c>
      <c r="F68" s="29">
        <v>4.0</v>
      </c>
      <c r="G68" s="29">
        <v>4.0</v>
      </c>
      <c r="H68" s="29">
        <v>4.0</v>
      </c>
      <c r="I68" s="5"/>
      <c r="J68" s="42" t="s">
        <v>35</v>
      </c>
      <c r="K68" s="40" t="s">
        <v>36</v>
      </c>
      <c r="L68" s="26">
        <v>1.0</v>
      </c>
      <c r="M68" s="26">
        <v>1.0</v>
      </c>
      <c r="N68" s="26">
        <v>1.0</v>
      </c>
      <c r="O68" s="26">
        <v>1.0</v>
      </c>
      <c r="P68" s="26">
        <v>1.0</v>
      </c>
      <c r="Q68" s="26">
        <v>1.0</v>
      </c>
      <c r="R68" s="5"/>
      <c r="S68" s="42" t="s">
        <v>35</v>
      </c>
      <c r="T68" s="40" t="s">
        <v>36</v>
      </c>
      <c r="U68" s="28">
        <v>3.0</v>
      </c>
      <c r="V68" s="28">
        <v>3.0</v>
      </c>
      <c r="W68" s="28">
        <v>3.0</v>
      </c>
      <c r="X68" s="28">
        <v>3.0</v>
      </c>
      <c r="Y68" s="28">
        <v>3.0</v>
      </c>
      <c r="Z68" s="28">
        <v>3.0</v>
      </c>
      <c r="AA68" s="5"/>
      <c r="AB68" s="42" t="s">
        <v>35</v>
      </c>
      <c r="AC68" s="40" t="s">
        <v>36</v>
      </c>
      <c r="AD68" s="26">
        <v>1.0</v>
      </c>
      <c r="AE68" s="26">
        <v>1.0</v>
      </c>
      <c r="AF68" s="26">
        <v>1.0</v>
      </c>
      <c r="AG68" s="26">
        <v>1.0</v>
      </c>
      <c r="AH68" s="26">
        <v>1.0</v>
      </c>
      <c r="AI68" s="26">
        <v>1.0</v>
      </c>
    </row>
    <row r="69">
      <c r="A69" s="68"/>
      <c r="B69" s="34" t="s">
        <v>38</v>
      </c>
      <c r="C69" s="29">
        <v>4.0</v>
      </c>
      <c r="D69" s="29">
        <v>4.0</v>
      </c>
      <c r="E69" s="29">
        <v>4.0</v>
      </c>
      <c r="F69" s="29">
        <v>4.0</v>
      </c>
      <c r="G69" s="29">
        <v>4.0</v>
      </c>
      <c r="H69" s="29">
        <v>4.0</v>
      </c>
      <c r="I69" s="5"/>
      <c r="J69" s="68"/>
      <c r="K69" s="34" t="s">
        <v>38</v>
      </c>
      <c r="L69" s="26">
        <v>1.0</v>
      </c>
      <c r="M69" s="26">
        <v>1.0</v>
      </c>
      <c r="N69" s="26">
        <v>1.0</v>
      </c>
      <c r="O69" s="26">
        <v>1.0</v>
      </c>
      <c r="P69" s="26">
        <v>1.0</v>
      </c>
      <c r="Q69" s="26">
        <v>1.0</v>
      </c>
      <c r="R69" s="5"/>
      <c r="S69" s="68"/>
      <c r="T69" s="34" t="s">
        <v>38</v>
      </c>
      <c r="U69" s="28">
        <v>3.0</v>
      </c>
      <c r="V69" s="28">
        <v>3.0</v>
      </c>
      <c r="W69" s="28">
        <v>3.0</v>
      </c>
      <c r="X69" s="28">
        <v>3.0</v>
      </c>
      <c r="Y69" s="28">
        <v>3.0</v>
      </c>
      <c r="Z69" s="28">
        <v>3.0</v>
      </c>
      <c r="AA69" s="5"/>
      <c r="AB69" s="68"/>
      <c r="AC69" s="34" t="s">
        <v>38</v>
      </c>
      <c r="AD69" s="26">
        <v>1.0</v>
      </c>
      <c r="AE69" s="26">
        <v>1.0</v>
      </c>
      <c r="AF69" s="26">
        <v>1.0</v>
      </c>
      <c r="AG69" s="26">
        <v>1.0</v>
      </c>
      <c r="AH69" s="26">
        <v>1.0</v>
      </c>
      <c r="AI69" s="26">
        <v>1.0</v>
      </c>
    </row>
    <row r="70">
      <c r="A70" s="39"/>
      <c r="B70" s="40" t="s">
        <v>42</v>
      </c>
      <c r="C70" s="26">
        <v>1.0</v>
      </c>
      <c r="D70" s="26">
        <v>1.0</v>
      </c>
      <c r="E70" s="26">
        <v>1.0</v>
      </c>
      <c r="F70" s="26">
        <v>1.0</v>
      </c>
      <c r="G70" s="26">
        <v>1.0</v>
      </c>
      <c r="H70" s="26">
        <v>1.0</v>
      </c>
      <c r="I70" s="5"/>
      <c r="J70" s="39"/>
      <c r="K70" s="40" t="s">
        <v>42</v>
      </c>
      <c r="L70" s="26">
        <v>1.0</v>
      </c>
      <c r="M70" s="26">
        <v>1.0</v>
      </c>
      <c r="N70" s="26">
        <v>1.0</v>
      </c>
      <c r="O70" s="26">
        <v>1.0</v>
      </c>
      <c r="P70" s="26">
        <v>1.0</v>
      </c>
      <c r="Q70" s="26">
        <v>1.0</v>
      </c>
      <c r="R70" s="5"/>
      <c r="S70" s="39"/>
      <c r="T70" s="40" t="s">
        <v>42</v>
      </c>
      <c r="U70" s="28">
        <v>3.0</v>
      </c>
      <c r="V70" s="28">
        <v>3.0</v>
      </c>
      <c r="W70" s="28">
        <v>3.0</v>
      </c>
      <c r="X70" s="28">
        <v>3.0</v>
      </c>
      <c r="Y70" s="28">
        <v>3.0</v>
      </c>
      <c r="Z70" s="28">
        <v>3.0</v>
      </c>
      <c r="AA70" s="5"/>
      <c r="AB70" s="39"/>
      <c r="AC70" s="40" t="s">
        <v>42</v>
      </c>
      <c r="AD70" s="26">
        <v>1.0</v>
      </c>
      <c r="AE70" s="26">
        <v>1.0</v>
      </c>
      <c r="AF70" s="26">
        <v>1.0</v>
      </c>
      <c r="AG70" s="26">
        <v>1.0</v>
      </c>
      <c r="AH70" s="26">
        <v>1.0</v>
      </c>
      <c r="AI70" s="26">
        <v>1.0</v>
      </c>
    </row>
    <row r="71">
      <c r="A71" s="41">
        <f>COUNTIF(C64:H87,"=2")/6</f>
        <v>2.333333333</v>
      </c>
      <c r="B71" s="40" t="s">
        <v>43</v>
      </c>
      <c r="C71" s="26">
        <v>1.0</v>
      </c>
      <c r="D71" s="26">
        <v>1.0</v>
      </c>
      <c r="E71" s="26">
        <v>1.0</v>
      </c>
      <c r="F71" s="26">
        <v>1.0</v>
      </c>
      <c r="G71" s="26">
        <v>1.0</v>
      </c>
      <c r="H71" s="26">
        <v>1.0</v>
      </c>
      <c r="I71" s="5"/>
      <c r="J71" s="41">
        <f>COUNTIF(L64:Q87,"=2")/6</f>
        <v>1.666666667</v>
      </c>
      <c r="K71" s="40" t="s">
        <v>43</v>
      </c>
      <c r="L71" s="26">
        <v>1.0</v>
      </c>
      <c r="M71" s="26">
        <v>1.0</v>
      </c>
      <c r="N71" s="26">
        <v>1.0</v>
      </c>
      <c r="O71" s="26">
        <v>1.0</v>
      </c>
      <c r="P71" s="26">
        <v>1.0</v>
      </c>
      <c r="Q71" s="26">
        <v>1.0</v>
      </c>
      <c r="R71" s="5"/>
      <c r="S71" s="41">
        <f>COUNTIF(U64:Z87,"=2")/6</f>
        <v>2.166666667</v>
      </c>
      <c r="T71" s="40" t="s">
        <v>43</v>
      </c>
      <c r="U71" s="26">
        <v>1.0</v>
      </c>
      <c r="V71" s="26">
        <v>1.0</v>
      </c>
      <c r="W71" s="26">
        <v>1.0</v>
      </c>
      <c r="X71" s="26">
        <v>1.0</v>
      </c>
      <c r="Y71" s="26">
        <v>1.0</v>
      </c>
      <c r="Z71" s="26">
        <v>1.0</v>
      </c>
      <c r="AA71" s="5"/>
      <c r="AB71" s="41">
        <f>COUNTIF(AD64:AI87,"=2")/6</f>
        <v>1.166666667</v>
      </c>
      <c r="AC71" s="40" t="s">
        <v>43</v>
      </c>
      <c r="AD71" s="26">
        <v>1.0</v>
      </c>
      <c r="AE71" s="26">
        <v>1.0</v>
      </c>
      <c r="AF71" s="26">
        <v>1.0</v>
      </c>
      <c r="AG71" s="26">
        <v>1.0</v>
      </c>
      <c r="AH71" s="26">
        <v>1.0</v>
      </c>
      <c r="AI71" s="26">
        <v>1.0</v>
      </c>
    </row>
    <row r="72">
      <c r="A72" s="44" t="s">
        <v>44</v>
      </c>
      <c r="B72" s="40" t="s">
        <v>45</v>
      </c>
      <c r="C72" s="26">
        <v>1.0</v>
      </c>
      <c r="D72" s="26">
        <v>1.0</v>
      </c>
      <c r="E72" s="26">
        <v>1.0</v>
      </c>
      <c r="F72" s="26">
        <v>1.0</v>
      </c>
      <c r="G72" s="26">
        <v>1.0</v>
      </c>
      <c r="H72" s="26">
        <v>1.0</v>
      </c>
      <c r="I72" s="5"/>
      <c r="J72" s="44" t="s">
        <v>44</v>
      </c>
      <c r="K72" s="40" t="s">
        <v>45</v>
      </c>
      <c r="L72" s="26">
        <v>1.0</v>
      </c>
      <c r="M72" s="26">
        <v>1.0</v>
      </c>
      <c r="N72" s="26">
        <v>1.0</v>
      </c>
      <c r="O72" s="26">
        <v>1.0</v>
      </c>
      <c r="P72" s="26">
        <v>1.0</v>
      </c>
      <c r="Q72" s="26">
        <v>1.0</v>
      </c>
      <c r="R72" s="5"/>
      <c r="S72" s="44" t="s">
        <v>44</v>
      </c>
      <c r="T72" s="40" t="s">
        <v>45</v>
      </c>
      <c r="U72" s="26">
        <v>1.0</v>
      </c>
      <c r="V72" s="26">
        <v>1.0</v>
      </c>
      <c r="W72" s="26">
        <v>1.0</v>
      </c>
      <c r="X72" s="26">
        <v>1.0</v>
      </c>
      <c r="Y72" s="26">
        <v>1.0</v>
      </c>
      <c r="Z72" s="26">
        <v>1.0</v>
      </c>
      <c r="AA72" s="5"/>
      <c r="AB72" s="44" t="s">
        <v>44</v>
      </c>
      <c r="AC72" s="40" t="s">
        <v>45</v>
      </c>
      <c r="AD72" s="26">
        <v>1.0</v>
      </c>
      <c r="AE72" s="26">
        <v>1.0</v>
      </c>
      <c r="AF72" s="26">
        <v>1.0</v>
      </c>
      <c r="AG72" s="26">
        <v>1.0</v>
      </c>
      <c r="AH72" s="26">
        <v>1.0</v>
      </c>
      <c r="AI72" s="26">
        <v>1.0</v>
      </c>
    </row>
    <row r="73">
      <c r="A73" s="38"/>
      <c r="B73" s="34" t="s">
        <v>47</v>
      </c>
      <c r="C73" s="26">
        <v>1.0</v>
      </c>
      <c r="D73" s="26">
        <v>1.0</v>
      </c>
      <c r="E73" s="26">
        <v>1.0</v>
      </c>
      <c r="F73" s="26">
        <v>1.0</v>
      </c>
      <c r="G73" s="26">
        <v>1.0</v>
      </c>
      <c r="H73" s="26">
        <v>1.0</v>
      </c>
      <c r="I73" s="5"/>
      <c r="J73" s="38"/>
      <c r="K73" s="34" t="s">
        <v>47</v>
      </c>
      <c r="L73" s="26">
        <v>1.0</v>
      </c>
      <c r="M73" s="26">
        <v>1.0</v>
      </c>
      <c r="N73" s="26">
        <v>1.0</v>
      </c>
      <c r="O73" s="26">
        <v>1.0</v>
      </c>
      <c r="P73" s="26">
        <v>1.0</v>
      </c>
      <c r="Q73" s="26">
        <v>1.0</v>
      </c>
      <c r="R73" s="5"/>
      <c r="S73" s="38"/>
      <c r="T73" s="34" t="s">
        <v>47</v>
      </c>
      <c r="U73" s="26">
        <v>1.0</v>
      </c>
      <c r="V73" s="26">
        <v>1.0</v>
      </c>
      <c r="W73" s="26">
        <v>1.0</v>
      </c>
      <c r="X73" s="26">
        <v>1.0</v>
      </c>
      <c r="Y73" s="26">
        <v>1.0</v>
      </c>
      <c r="Z73" s="26">
        <v>1.0</v>
      </c>
      <c r="AA73" s="5"/>
      <c r="AB73" s="38"/>
      <c r="AC73" s="34" t="s">
        <v>47</v>
      </c>
      <c r="AD73" s="26">
        <v>1.0</v>
      </c>
      <c r="AE73" s="26">
        <v>1.0</v>
      </c>
      <c r="AF73" s="26">
        <v>1.0</v>
      </c>
      <c r="AG73" s="26">
        <v>1.0</v>
      </c>
      <c r="AH73" s="26">
        <v>1.0</v>
      </c>
      <c r="AI73" s="26">
        <v>1.0</v>
      </c>
    </row>
    <row r="74">
      <c r="A74" s="39"/>
      <c r="B74" s="40" t="s">
        <v>22</v>
      </c>
      <c r="C74" s="26">
        <v>1.0</v>
      </c>
      <c r="D74" s="26">
        <v>1.0</v>
      </c>
      <c r="E74" s="26">
        <v>1.0</v>
      </c>
      <c r="F74" s="26">
        <v>1.0</v>
      </c>
      <c r="G74" s="26">
        <v>1.0</v>
      </c>
      <c r="H74" s="26">
        <v>1.0</v>
      </c>
      <c r="I74" s="5"/>
      <c r="J74" s="43" t="s">
        <v>133</v>
      </c>
      <c r="K74" s="40" t="s">
        <v>22</v>
      </c>
      <c r="L74" s="26">
        <v>1.0</v>
      </c>
      <c r="M74" s="26">
        <v>1.0</v>
      </c>
      <c r="N74" s="26">
        <v>1.0</v>
      </c>
      <c r="O74" s="26">
        <v>1.0</v>
      </c>
      <c r="P74" s="26">
        <v>1.0</v>
      </c>
      <c r="Q74" s="26">
        <v>1.0</v>
      </c>
      <c r="R74" s="5"/>
      <c r="S74" s="39"/>
      <c r="T74" s="40" t="s">
        <v>22</v>
      </c>
      <c r="U74" s="26">
        <v>1.0</v>
      </c>
      <c r="V74" s="26">
        <v>1.0</v>
      </c>
      <c r="W74" s="26">
        <v>1.0</v>
      </c>
      <c r="X74" s="26">
        <v>1.0</v>
      </c>
      <c r="Y74" s="26">
        <v>1.0</v>
      </c>
      <c r="Z74" s="26">
        <v>1.0</v>
      </c>
      <c r="AA74" s="5"/>
      <c r="AB74" s="39"/>
      <c r="AC74" s="40" t="s">
        <v>22</v>
      </c>
      <c r="AD74" s="26">
        <v>1.0</v>
      </c>
      <c r="AE74" s="26">
        <v>1.0</v>
      </c>
      <c r="AF74" s="26">
        <v>1.0</v>
      </c>
      <c r="AG74" s="26">
        <v>1.0</v>
      </c>
      <c r="AH74" s="26">
        <v>1.0</v>
      </c>
      <c r="AI74" s="26">
        <v>1.0</v>
      </c>
    </row>
    <row r="75">
      <c r="A75" s="41">
        <f>COUNTIF(C64:H87,"=3")/6</f>
        <v>2.166666667</v>
      </c>
      <c r="B75" s="40" t="s">
        <v>50</v>
      </c>
      <c r="C75" s="26">
        <v>1.0</v>
      </c>
      <c r="D75" s="26">
        <v>1.0</v>
      </c>
      <c r="E75" s="26">
        <v>1.0</v>
      </c>
      <c r="F75" s="26">
        <v>1.0</v>
      </c>
      <c r="G75" s="26">
        <v>1.0</v>
      </c>
      <c r="H75" s="26">
        <v>1.0</v>
      </c>
      <c r="I75" s="5"/>
      <c r="J75" s="41">
        <f>COUNTIF(L64:Q87,"=3")/6</f>
        <v>3</v>
      </c>
      <c r="K75" s="40" t="s">
        <v>50</v>
      </c>
      <c r="L75" s="26">
        <v>1.0</v>
      </c>
      <c r="M75" s="26">
        <v>1.0</v>
      </c>
      <c r="N75" s="26">
        <v>1.0</v>
      </c>
      <c r="O75" s="26">
        <v>1.0</v>
      </c>
      <c r="P75" s="26">
        <v>1.0</v>
      </c>
      <c r="Q75" s="26">
        <v>1.0</v>
      </c>
      <c r="R75" s="5"/>
      <c r="S75" s="41">
        <f>COUNTIF(U64:Z87,"=3")/6</f>
        <v>3.666666667</v>
      </c>
      <c r="T75" s="40" t="s">
        <v>50</v>
      </c>
      <c r="U75" s="26">
        <v>1.0</v>
      </c>
      <c r="V75" s="26">
        <v>1.0</v>
      </c>
      <c r="W75" s="26">
        <v>1.0</v>
      </c>
      <c r="X75" s="26">
        <v>1.0</v>
      </c>
      <c r="Y75" s="26">
        <v>1.0</v>
      </c>
      <c r="Z75" s="26">
        <v>1.0</v>
      </c>
      <c r="AA75" s="5"/>
      <c r="AB75" s="41">
        <f>COUNTIF(AD64:AI87,"=3")/6</f>
        <v>3</v>
      </c>
      <c r="AC75" s="40" t="s">
        <v>50</v>
      </c>
      <c r="AD75" s="26">
        <v>1.0</v>
      </c>
      <c r="AE75" s="26">
        <v>1.0</v>
      </c>
      <c r="AF75" s="26">
        <v>1.0</v>
      </c>
      <c r="AG75" s="26">
        <v>1.0</v>
      </c>
      <c r="AH75" s="26">
        <v>1.0</v>
      </c>
      <c r="AI75" s="26">
        <v>1.0</v>
      </c>
    </row>
    <row r="76">
      <c r="A76" s="45" t="s">
        <v>51</v>
      </c>
      <c r="B76" s="40" t="s">
        <v>52</v>
      </c>
      <c r="C76" s="26">
        <v>1.0</v>
      </c>
      <c r="D76" s="27">
        <v>2.0</v>
      </c>
      <c r="E76" s="27">
        <v>2.0</v>
      </c>
      <c r="F76" s="29">
        <v>4.0</v>
      </c>
      <c r="G76" s="29">
        <v>4.0</v>
      </c>
      <c r="H76" s="29">
        <v>4.0</v>
      </c>
      <c r="I76" s="5"/>
      <c r="J76" s="45" t="s">
        <v>51</v>
      </c>
      <c r="K76" s="40" t="s">
        <v>52</v>
      </c>
      <c r="L76" s="26">
        <v>1.0</v>
      </c>
      <c r="M76" s="26">
        <v>1.0</v>
      </c>
      <c r="N76" s="26">
        <v>1.0</v>
      </c>
      <c r="O76" s="26">
        <v>1.0</v>
      </c>
      <c r="P76" s="26">
        <v>1.0</v>
      </c>
      <c r="Q76" s="26">
        <v>1.0</v>
      </c>
      <c r="R76" s="5"/>
      <c r="S76" s="45" t="s">
        <v>51</v>
      </c>
      <c r="T76" s="40" t="s">
        <v>52</v>
      </c>
      <c r="U76" s="26">
        <v>1.0</v>
      </c>
      <c r="V76" s="26">
        <v>1.0</v>
      </c>
      <c r="W76" s="26">
        <v>1.0</v>
      </c>
      <c r="X76" s="26">
        <v>1.0</v>
      </c>
      <c r="Y76" s="26">
        <v>1.0</v>
      </c>
      <c r="Z76" s="26">
        <v>1.0</v>
      </c>
      <c r="AA76" s="5"/>
      <c r="AB76" s="45" t="s">
        <v>51</v>
      </c>
      <c r="AC76" s="40" t="s">
        <v>52</v>
      </c>
      <c r="AD76" s="26">
        <v>1.0</v>
      </c>
      <c r="AE76" s="26">
        <v>1.0</v>
      </c>
      <c r="AF76" s="26">
        <v>1.0</v>
      </c>
      <c r="AG76" s="26">
        <v>1.0</v>
      </c>
      <c r="AH76" s="26">
        <v>1.0</v>
      </c>
      <c r="AI76" s="26">
        <v>1.0</v>
      </c>
    </row>
    <row r="77">
      <c r="A77" s="36" t="s">
        <v>137</v>
      </c>
      <c r="B77" s="34" t="s">
        <v>54</v>
      </c>
      <c r="C77" s="29">
        <v>4.0</v>
      </c>
      <c r="D77" s="29">
        <v>4.0</v>
      </c>
      <c r="E77" s="29">
        <v>4.0</v>
      </c>
      <c r="F77" s="29">
        <v>4.0</v>
      </c>
      <c r="G77" s="29">
        <v>4.0</v>
      </c>
      <c r="H77" s="29">
        <v>4.0</v>
      </c>
      <c r="I77" s="5"/>
      <c r="J77" s="36" t="s">
        <v>138</v>
      </c>
      <c r="K77" s="34" t="s">
        <v>54</v>
      </c>
      <c r="L77" s="29">
        <v>4.0</v>
      </c>
      <c r="M77" s="29">
        <v>4.0</v>
      </c>
      <c r="N77" s="29">
        <v>4.0</v>
      </c>
      <c r="O77" s="29">
        <v>4.0</v>
      </c>
      <c r="P77" s="29">
        <v>4.0</v>
      </c>
      <c r="Q77" s="29">
        <v>4.0</v>
      </c>
      <c r="R77" s="5"/>
      <c r="S77" s="38"/>
      <c r="T77" s="34" t="s">
        <v>54</v>
      </c>
      <c r="U77" s="26">
        <v>1.0</v>
      </c>
      <c r="V77" s="26">
        <v>1.0</v>
      </c>
      <c r="W77" s="26">
        <v>1.0</v>
      </c>
      <c r="X77" s="26">
        <v>1.0</v>
      </c>
      <c r="Y77" s="26">
        <v>1.0</v>
      </c>
      <c r="Z77" s="26">
        <v>1.0</v>
      </c>
      <c r="AA77" s="5"/>
      <c r="AB77" s="38"/>
      <c r="AC77" s="34" t="s">
        <v>54</v>
      </c>
      <c r="AD77" s="27">
        <v>2.0</v>
      </c>
      <c r="AE77" s="27">
        <v>2.0</v>
      </c>
      <c r="AF77" s="27">
        <v>2.0</v>
      </c>
      <c r="AG77" s="27">
        <v>2.0</v>
      </c>
      <c r="AH77" s="27">
        <v>2.0</v>
      </c>
      <c r="AI77" s="29">
        <v>4.0</v>
      </c>
    </row>
    <row r="78">
      <c r="A78" s="43" t="s">
        <v>139</v>
      </c>
      <c r="B78" s="40" t="s">
        <v>58</v>
      </c>
      <c r="C78" s="29">
        <v>4.0</v>
      </c>
      <c r="D78" s="29">
        <v>4.0</v>
      </c>
      <c r="E78" s="27">
        <v>2.0</v>
      </c>
      <c r="F78" s="27">
        <v>2.0</v>
      </c>
      <c r="G78" s="27">
        <v>2.0</v>
      </c>
      <c r="H78" s="27">
        <v>2.0</v>
      </c>
      <c r="I78" s="5"/>
      <c r="J78" s="43" t="s">
        <v>140</v>
      </c>
      <c r="K78" s="40" t="s">
        <v>58</v>
      </c>
      <c r="L78" s="29">
        <v>4.0</v>
      </c>
      <c r="M78" s="29">
        <v>4.0</v>
      </c>
      <c r="N78" s="29">
        <v>4.0</v>
      </c>
      <c r="O78" s="29">
        <v>4.0</v>
      </c>
      <c r="P78" s="29">
        <v>4.0</v>
      </c>
      <c r="Q78" s="29">
        <v>4.0</v>
      </c>
      <c r="R78" s="5"/>
      <c r="S78" s="46"/>
      <c r="T78" s="40" t="s">
        <v>58</v>
      </c>
      <c r="U78" s="27">
        <v>2.0</v>
      </c>
      <c r="V78" s="27">
        <v>2.0</v>
      </c>
      <c r="W78" s="27">
        <v>2.0</v>
      </c>
      <c r="X78" s="28">
        <v>3.0</v>
      </c>
      <c r="Y78" s="28">
        <v>3.0</v>
      </c>
      <c r="Z78" s="28">
        <v>3.0</v>
      </c>
      <c r="AA78" s="5"/>
      <c r="AB78" s="46"/>
      <c r="AC78" s="40" t="s">
        <v>58</v>
      </c>
      <c r="AD78" s="29">
        <v>4.0</v>
      </c>
      <c r="AE78" s="29">
        <v>4.0</v>
      </c>
      <c r="AF78" s="29">
        <v>4.0</v>
      </c>
      <c r="AG78" s="29">
        <v>4.0</v>
      </c>
      <c r="AH78" s="29">
        <v>4.0</v>
      </c>
      <c r="AI78" s="29">
        <v>4.0</v>
      </c>
    </row>
    <row r="79">
      <c r="A79" s="41">
        <f>COUNTIF(C64:H87,"=4")/6</f>
        <v>8.833333333</v>
      </c>
      <c r="B79" s="40" t="s">
        <v>59</v>
      </c>
      <c r="C79" s="28">
        <v>3.0</v>
      </c>
      <c r="D79" s="28">
        <v>3.0</v>
      </c>
      <c r="E79" s="28">
        <v>3.0</v>
      </c>
      <c r="F79" s="28">
        <v>3.0</v>
      </c>
      <c r="G79" s="28">
        <v>3.0</v>
      </c>
      <c r="H79" s="28">
        <v>3.0</v>
      </c>
      <c r="I79" s="5"/>
      <c r="J79" s="41">
        <f>COUNTIF(L64:Q87,"=4")/6</f>
        <v>8</v>
      </c>
      <c r="K79" s="40" t="s">
        <v>59</v>
      </c>
      <c r="L79" s="27">
        <v>2.0</v>
      </c>
      <c r="M79" s="27">
        <v>2.0</v>
      </c>
      <c r="N79" s="27">
        <v>2.0</v>
      </c>
      <c r="O79" s="27">
        <v>2.0</v>
      </c>
      <c r="P79" s="27">
        <v>2.0</v>
      </c>
      <c r="Q79" s="27">
        <v>2.0</v>
      </c>
      <c r="R79" s="5"/>
      <c r="S79" s="41">
        <f>COUNTIF(U64:Z87,"=4")/6</f>
        <v>1</v>
      </c>
      <c r="T79" s="40" t="s">
        <v>59</v>
      </c>
      <c r="U79" s="28">
        <v>3.0</v>
      </c>
      <c r="V79" s="27">
        <v>2.0</v>
      </c>
      <c r="W79" s="30">
        <v>5.0</v>
      </c>
      <c r="X79" s="30">
        <v>5.0</v>
      </c>
      <c r="Y79" s="30">
        <v>5.0</v>
      </c>
      <c r="Z79" s="30">
        <v>5.0</v>
      </c>
      <c r="AA79" s="5"/>
      <c r="AB79" s="41">
        <f>COUNTIF(AD64:AI87,"=4")/6</f>
        <v>2.166666667</v>
      </c>
      <c r="AC79" s="40" t="s">
        <v>59</v>
      </c>
      <c r="AD79" s="29">
        <v>4.0</v>
      </c>
      <c r="AE79" s="29">
        <v>4.0</v>
      </c>
      <c r="AF79" s="29">
        <v>4.0</v>
      </c>
      <c r="AG79" s="29">
        <v>4.0</v>
      </c>
      <c r="AH79" s="29">
        <v>4.0</v>
      </c>
      <c r="AI79" s="29">
        <v>4.0</v>
      </c>
    </row>
    <row r="80">
      <c r="A80" s="47" t="s">
        <v>60</v>
      </c>
      <c r="B80" s="40" t="s">
        <v>61</v>
      </c>
      <c r="C80" s="28">
        <v>3.0</v>
      </c>
      <c r="D80" s="28">
        <v>3.0</v>
      </c>
      <c r="E80" s="28">
        <v>3.0</v>
      </c>
      <c r="F80" s="28">
        <v>3.0</v>
      </c>
      <c r="G80" s="28">
        <v>3.0</v>
      </c>
      <c r="H80" s="27">
        <v>2.0</v>
      </c>
      <c r="I80" s="5"/>
      <c r="J80" s="47" t="s">
        <v>60</v>
      </c>
      <c r="K80" s="40" t="s">
        <v>61</v>
      </c>
      <c r="L80" s="30">
        <v>5.0</v>
      </c>
      <c r="M80" s="30">
        <v>5.0</v>
      </c>
      <c r="N80" s="30">
        <v>5.0</v>
      </c>
      <c r="O80" s="30">
        <v>5.0</v>
      </c>
      <c r="P80" s="30">
        <v>5.0</v>
      </c>
      <c r="Q80" s="30">
        <v>5.0</v>
      </c>
      <c r="R80" s="5"/>
      <c r="S80" s="47" t="s">
        <v>60</v>
      </c>
      <c r="T80" s="40" t="s">
        <v>61</v>
      </c>
      <c r="U80" s="30">
        <v>5.0</v>
      </c>
      <c r="V80" s="30">
        <v>5.0</v>
      </c>
      <c r="W80" s="30">
        <v>5.0</v>
      </c>
      <c r="X80" s="30">
        <v>5.0</v>
      </c>
      <c r="Y80" s="30">
        <v>5.0</v>
      </c>
      <c r="Z80" s="30">
        <v>5.0</v>
      </c>
      <c r="AA80" s="5"/>
      <c r="AB80" s="47" t="s">
        <v>60</v>
      </c>
      <c r="AC80" s="40" t="s">
        <v>61</v>
      </c>
      <c r="AD80" s="27">
        <v>2.0</v>
      </c>
      <c r="AE80" s="27">
        <v>2.0</v>
      </c>
      <c r="AF80" s="30">
        <v>5.0</v>
      </c>
      <c r="AG80" s="30">
        <v>5.0</v>
      </c>
      <c r="AH80" s="30">
        <v>5.0</v>
      </c>
      <c r="AI80" s="30">
        <v>5.0</v>
      </c>
    </row>
    <row r="81">
      <c r="A81" s="36" t="s">
        <v>143</v>
      </c>
      <c r="B81" s="34" t="s">
        <v>63</v>
      </c>
      <c r="C81" s="27">
        <v>2.0</v>
      </c>
      <c r="D81" s="27">
        <v>2.0</v>
      </c>
      <c r="E81" s="27">
        <v>2.0</v>
      </c>
      <c r="F81" s="30">
        <v>5.0</v>
      </c>
      <c r="G81" s="30">
        <v>5.0</v>
      </c>
      <c r="H81" s="30">
        <v>5.0</v>
      </c>
      <c r="I81" s="5"/>
      <c r="J81" s="38"/>
      <c r="K81" s="34" t="s">
        <v>63</v>
      </c>
      <c r="L81" s="30">
        <v>5.0</v>
      </c>
      <c r="M81" s="30">
        <v>5.0</v>
      </c>
      <c r="N81" s="30">
        <v>5.0</v>
      </c>
      <c r="O81" s="30">
        <v>5.0</v>
      </c>
      <c r="P81" s="30">
        <v>5.0</v>
      </c>
      <c r="Q81" s="30">
        <v>5.0</v>
      </c>
      <c r="R81" s="5"/>
      <c r="S81" s="38"/>
      <c r="T81" s="34" t="s">
        <v>63</v>
      </c>
      <c r="U81" s="30">
        <v>5.0</v>
      </c>
      <c r="V81" s="30">
        <v>5.0</v>
      </c>
      <c r="W81" s="30">
        <v>5.0</v>
      </c>
      <c r="X81" s="30">
        <v>5.0</v>
      </c>
      <c r="Y81" s="30">
        <v>5.0</v>
      </c>
      <c r="Z81" s="30">
        <v>5.0</v>
      </c>
      <c r="AA81" s="5"/>
      <c r="AB81" s="38"/>
      <c r="AC81" s="34" t="s">
        <v>63</v>
      </c>
      <c r="AD81" s="30">
        <v>5.0</v>
      </c>
      <c r="AE81" s="30">
        <v>5.0</v>
      </c>
      <c r="AF81" s="30">
        <v>5.0</v>
      </c>
      <c r="AG81" s="30">
        <v>5.0</v>
      </c>
      <c r="AH81" s="30">
        <v>5.0</v>
      </c>
      <c r="AI81" s="30">
        <v>5.0</v>
      </c>
    </row>
    <row r="82">
      <c r="A82" s="43" t="s">
        <v>144</v>
      </c>
      <c r="B82" s="40" t="s">
        <v>67</v>
      </c>
      <c r="C82" s="30">
        <v>5.0</v>
      </c>
      <c r="D82" s="30">
        <v>5.0</v>
      </c>
      <c r="E82" s="30">
        <v>5.0</v>
      </c>
      <c r="F82" s="30">
        <v>5.0</v>
      </c>
      <c r="G82" s="30">
        <v>5.0</v>
      </c>
      <c r="H82" s="30">
        <v>5.0</v>
      </c>
      <c r="I82" s="5"/>
      <c r="J82" s="46"/>
      <c r="K82" s="40" t="s">
        <v>67</v>
      </c>
      <c r="L82" s="30">
        <v>5.0</v>
      </c>
      <c r="M82" s="30">
        <v>5.0</v>
      </c>
      <c r="N82" s="27">
        <v>2.0</v>
      </c>
      <c r="O82" s="27">
        <v>2.0</v>
      </c>
      <c r="P82" s="27">
        <v>2.0</v>
      </c>
      <c r="Q82" s="27">
        <v>2.0</v>
      </c>
      <c r="R82" s="5"/>
      <c r="S82" s="46"/>
      <c r="T82" s="40" t="s">
        <v>67</v>
      </c>
      <c r="U82" s="30">
        <v>5.0</v>
      </c>
      <c r="V82" s="30">
        <v>5.0</v>
      </c>
      <c r="W82" s="30">
        <v>5.0</v>
      </c>
      <c r="X82" s="30">
        <v>5.0</v>
      </c>
      <c r="Y82" s="30">
        <v>5.0</v>
      </c>
      <c r="Z82" s="30">
        <v>5.0</v>
      </c>
      <c r="AA82" s="5"/>
      <c r="AB82" s="46"/>
      <c r="AC82" s="40" t="s">
        <v>67</v>
      </c>
      <c r="AD82" s="30">
        <v>5.0</v>
      </c>
      <c r="AE82" s="30">
        <v>5.0</v>
      </c>
      <c r="AF82" s="30">
        <v>5.0</v>
      </c>
      <c r="AG82" s="30">
        <v>5.0</v>
      </c>
      <c r="AH82" s="30">
        <v>5.0</v>
      </c>
      <c r="AI82" s="30">
        <v>5.0</v>
      </c>
    </row>
    <row r="83">
      <c r="A83" s="41">
        <f>COUNTIF(C64:H87,"=5")/6</f>
        <v>4.5</v>
      </c>
      <c r="B83" s="40" t="s">
        <v>68</v>
      </c>
      <c r="C83" s="30">
        <v>5.0</v>
      </c>
      <c r="D83" s="30">
        <v>5.0</v>
      </c>
      <c r="E83" s="30">
        <v>5.0</v>
      </c>
      <c r="F83" s="30">
        <v>5.0</v>
      </c>
      <c r="G83" s="30">
        <v>5.0</v>
      </c>
      <c r="H83" s="30">
        <v>5.0</v>
      </c>
      <c r="I83" s="5"/>
      <c r="J83" s="41">
        <f>COUNTIF(L64:Q87,"=5")/6</f>
        <v>2.333333333</v>
      </c>
      <c r="K83" s="40" t="s">
        <v>68</v>
      </c>
      <c r="L83" s="29">
        <v>4.0</v>
      </c>
      <c r="M83" s="29">
        <v>4.0</v>
      </c>
      <c r="N83" s="29">
        <v>4.0</v>
      </c>
      <c r="O83" s="29">
        <v>4.0</v>
      </c>
      <c r="P83" s="29">
        <v>4.0</v>
      </c>
      <c r="Q83" s="29">
        <v>4.0</v>
      </c>
      <c r="R83" s="5"/>
      <c r="S83" s="41">
        <f>COUNTIF(U64:Z87,"=5")/6</f>
        <v>7.666666667</v>
      </c>
      <c r="T83" s="40" t="s">
        <v>68</v>
      </c>
      <c r="U83" s="30">
        <v>5.0</v>
      </c>
      <c r="V83" s="30">
        <v>5.0</v>
      </c>
      <c r="W83" s="30">
        <v>5.0</v>
      </c>
      <c r="X83" s="30">
        <v>5.0</v>
      </c>
      <c r="Y83" s="30">
        <v>5.0</v>
      </c>
      <c r="Z83" s="30">
        <v>5.0</v>
      </c>
      <c r="AA83" s="5"/>
      <c r="AB83" s="41">
        <f>COUNTIF(AD64:AI87,"=5")/6</f>
        <v>7.666666667</v>
      </c>
      <c r="AC83" s="40" t="s">
        <v>68</v>
      </c>
      <c r="AD83" s="30">
        <v>5.0</v>
      </c>
      <c r="AE83" s="30">
        <v>5.0</v>
      </c>
      <c r="AF83" s="30">
        <v>5.0</v>
      </c>
      <c r="AG83" s="30">
        <v>5.0</v>
      </c>
      <c r="AH83" s="30">
        <v>5.0</v>
      </c>
      <c r="AI83" s="30">
        <v>5.0</v>
      </c>
    </row>
    <row r="84">
      <c r="A84" s="48" t="s">
        <v>69</v>
      </c>
      <c r="B84" s="40" t="s">
        <v>23</v>
      </c>
      <c r="C84" s="30">
        <v>5.0</v>
      </c>
      <c r="D84" s="30">
        <v>5.0</v>
      </c>
      <c r="E84" s="30">
        <v>5.0</v>
      </c>
      <c r="F84" s="30">
        <v>5.0</v>
      </c>
      <c r="G84" s="30">
        <v>5.0</v>
      </c>
      <c r="H84" s="30">
        <v>5.0</v>
      </c>
      <c r="I84" s="5"/>
      <c r="J84" s="48" t="s">
        <v>69</v>
      </c>
      <c r="K84" s="40" t="s">
        <v>23</v>
      </c>
      <c r="L84" s="29">
        <v>4.0</v>
      </c>
      <c r="M84" s="29">
        <v>4.0</v>
      </c>
      <c r="N84" s="29">
        <v>4.0</v>
      </c>
      <c r="O84" s="29">
        <v>4.0</v>
      </c>
      <c r="P84" s="29">
        <v>4.0</v>
      </c>
      <c r="Q84" s="29">
        <v>4.0</v>
      </c>
      <c r="R84" s="5"/>
      <c r="S84" s="48" t="s">
        <v>69</v>
      </c>
      <c r="T84" s="40" t="s">
        <v>23</v>
      </c>
      <c r="U84" s="30">
        <v>5.0</v>
      </c>
      <c r="V84" s="30">
        <v>5.0</v>
      </c>
      <c r="W84" s="30">
        <v>5.0</v>
      </c>
      <c r="X84" s="30">
        <v>5.0</v>
      </c>
      <c r="Y84" s="30">
        <v>5.0</v>
      </c>
      <c r="Z84" s="30">
        <v>5.0</v>
      </c>
      <c r="AA84" s="5"/>
      <c r="AB84" s="48" t="s">
        <v>69</v>
      </c>
      <c r="AC84" s="40" t="s">
        <v>23</v>
      </c>
      <c r="AD84" s="30">
        <v>5.0</v>
      </c>
      <c r="AE84" s="30">
        <v>5.0</v>
      </c>
      <c r="AF84" s="30">
        <v>5.0</v>
      </c>
      <c r="AG84" s="30">
        <v>5.0</v>
      </c>
      <c r="AH84" s="30">
        <v>5.0</v>
      </c>
      <c r="AI84" s="30">
        <v>5.0</v>
      </c>
    </row>
    <row r="85">
      <c r="A85" s="46"/>
      <c r="B85" s="34" t="s">
        <v>70</v>
      </c>
      <c r="C85" s="30">
        <v>5.0</v>
      </c>
      <c r="D85" s="30">
        <v>5.0</v>
      </c>
      <c r="E85" s="30">
        <v>5.0</v>
      </c>
      <c r="F85" s="30">
        <v>5.0</v>
      </c>
      <c r="G85" s="30">
        <v>5.0</v>
      </c>
      <c r="H85" s="30">
        <v>5.0</v>
      </c>
      <c r="I85" s="5"/>
      <c r="J85" s="43" t="s">
        <v>147</v>
      </c>
      <c r="K85" s="34" t="s">
        <v>70</v>
      </c>
      <c r="L85" s="29">
        <v>4.0</v>
      </c>
      <c r="M85" s="29">
        <v>4.0</v>
      </c>
      <c r="N85" s="29">
        <v>4.0</v>
      </c>
      <c r="O85" s="29">
        <v>4.0</v>
      </c>
      <c r="P85" s="29">
        <v>4.0</v>
      </c>
      <c r="Q85" s="29">
        <v>4.0</v>
      </c>
      <c r="R85" s="5"/>
      <c r="S85" s="46"/>
      <c r="T85" s="34" t="s">
        <v>70</v>
      </c>
      <c r="U85" s="30">
        <v>5.0</v>
      </c>
      <c r="V85" s="30">
        <v>5.0</v>
      </c>
      <c r="W85" s="30">
        <v>5.0</v>
      </c>
      <c r="X85" s="30">
        <v>5.0</v>
      </c>
      <c r="Y85" s="30">
        <v>5.0</v>
      </c>
      <c r="Z85" s="30">
        <v>5.0</v>
      </c>
      <c r="AA85" s="5"/>
      <c r="AB85" s="46"/>
      <c r="AC85" s="34" t="s">
        <v>70</v>
      </c>
      <c r="AD85" s="30">
        <v>5.0</v>
      </c>
      <c r="AE85" s="30">
        <v>5.0</v>
      </c>
      <c r="AF85" s="30">
        <v>5.0</v>
      </c>
      <c r="AG85" s="30">
        <v>5.0</v>
      </c>
      <c r="AH85" s="30">
        <v>5.0</v>
      </c>
      <c r="AI85" s="30">
        <v>5.0</v>
      </c>
    </row>
    <row r="86">
      <c r="A86" s="39"/>
      <c r="B86" s="34" t="s">
        <v>72</v>
      </c>
      <c r="C86" s="29">
        <v>4.0</v>
      </c>
      <c r="D86" s="29">
        <v>4.0</v>
      </c>
      <c r="E86" s="29">
        <v>4.0</v>
      </c>
      <c r="F86" s="29">
        <v>4.0</v>
      </c>
      <c r="G86" s="29">
        <v>4.0</v>
      </c>
      <c r="H86" s="29">
        <v>4.0</v>
      </c>
      <c r="I86" s="5"/>
      <c r="J86" s="39"/>
      <c r="K86" s="34" t="s">
        <v>72</v>
      </c>
      <c r="L86" s="29">
        <v>4.0</v>
      </c>
      <c r="M86" s="29">
        <v>4.0</v>
      </c>
      <c r="N86" s="29">
        <v>4.0</v>
      </c>
      <c r="O86" s="29">
        <v>4.0</v>
      </c>
      <c r="P86" s="29">
        <v>4.0</v>
      </c>
      <c r="Q86" s="29">
        <v>4.0</v>
      </c>
      <c r="R86" s="5"/>
      <c r="S86" s="39"/>
      <c r="T86" s="34" t="s">
        <v>72</v>
      </c>
      <c r="U86" s="30">
        <v>5.0</v>
      </c>
      <c r="V86" s="30">
        <v>5.0</v>
      </c>
      <c r="W86" s="30">
        <v>5.0</v>
      </c>
      <c r="X86" s="30">
        <v>5.0</v>
      </c>
      <c r="Y86" s="30">
        <v>5.0</v>
      </c>
      <c r="Z86" s="30">
        <v>5.0</v>
      </c>
      <c r="AA86" s="5"/>
      <c r="AB86" s="39"/>
      <c r="AC86" s="34" t="s">
        <v>72</v>
      </c>
      <c r="AD86" s="30">
        <v>5.0</v>
      </c>
      <c r="AE86" s="30">
        <v>5.0</v>
      </c>
      <c r="AF86" s="30">
        <v>5.0</v>
      </c>
      <c r="AG86" s="30">
        <v>5.0</v>
      </c>
      <c r="AH86" s="30">
        <v>5.0</v>
      </c>
      <c r="AI86" s="30">
        <v>5.0</v>
      </c>
    </row>
    <row r="87">
      <c r="A87" s="49"/>
      <c r="B87" s="34" t="s">
        <v>73</v>
      </c>
      <c r="C87" s="29">
        <v>4.0</v>
      </c>
      <c r="D87" s="29">
        <v>4.0</v>
      </c>
      <c r="E87" s="29">
        <v>4.0</v>
      </c>
      <c r="F87" s="29">
        <v>4.0</v>
      </c>
      <c r="G87" s="29">
        <v>4.0</v>
      </c>
      <c r="H87" s="29">
        <v>4.0</v>
      </c>
      <c r="I87" s="5"/>
      <c r="J87" s="49"/>
      <c r="K87" s="34" t="s">
        <v>73</v>
      </c>
      <c r="L87" s="29">
        <v>4.0</v>
      </c>
      <c r="M87" s="29">
        <v>4.0</v>
      </c>
      <c r="N87" s="29">
        <v>4.0</v>
      </c>
      <c r="O87" s="29">
        <v>4.0</v>
      </c>
      <c r="P87" s="29">
        <v>4.0</v>
      </c>
      <c r="Q87" s="29">
        <v>4.0</v>
      </c>
      <c r="R87" s="5"/>
      <c r="S87" s="49"/>
      <c r="T87" s="34" t="s">
        <v>73</v>
      </c>
      <c r="U87" s="27">
        <v>2.0</v>
      </c>
      <c r="V87" s="27">
        <v>2.0</v>
      </c>
      <c r="W87" s="27">
        <v>2.0</v>
      </c>
      <c r="X87" s="27">
        <v>2.0</v>
      </c>
      <c r="Y87" s="27">
        <v>2.0</v>
      </c>
      <c r="Z87" s="27">
        <v>2.0</v>
      </c>
      <c r="AA87" s="5"/>
      <c r="AB87" s="49"/>
      <c r="AC87" s="34" t="s">
        <v>73</v>
      </c>
      <c r="AD87" s="30">
        <v>5.0</v>
      </c>
      <c r="AE87" s="30">
        <v>5.0</v>
      </c>
      <c r="AF87" s="30">
        <v>5.0</v>
      </c>
      <c r="AG87" s="30">
        <v>5.0</v>
      </c>
      <c r="AH87" s="30">
        <v>5.0</v>
      </c>
      <c r="AI87" s="30">
        <v>5.0</v>
      </c>
    </row>
    <row r="88">
      <c r="A88" s="50">
        <f>SUM(A67,A71,A75,A79,A83)</f>
        <v>24</v>
      </c>
      <c r="B88" s="5"/>
      <c r="C88" s="5"/>
      <c r="D88" s="5"/>
      <c r="E88" s="5"/>
      <c r="F88" s="5"/>
      <c r="G88" s="5"/>
      <c r="H88" s="5"/>
      <c r="I88" s="5"/>
      <c r="J88" s="50">
        <f>SUM(J67,J71,J75,J79,J83)</f>
        <v>24</v>
      </c>
      <c r="K88" s="5"/>
      <c r="L88" s="5"/>
      <c r="M88" s="5"/>
      <c r="N88" s="5"/>
      <c r="O88" s="5"/>
      <c r="P88" s="5"/>
      <c r="Q88" s="5"/>
      <c r="R88" s="5"/>
      <c r="S88" s="50">
        <f>SUM(S67,S71,S75,S79,S83)</f>
        <v>24</v>
      </c>
      <c r="T88" s="5"/>
      <c r="U88" s="5"/>
      <c r="V88" s="5"/>
      <c r="W88" s="5"/>
      <c r="X88" s="5"/>
      <c r="Y88" s="5"/>
      <c r="Z88" s="5"/>
      <c r="AA88" s="5"/>
      <c r="AB88" s="50">
        <f>SUM(AB67,AB71,AB75,AB79,AB83)</f>
        <v>24</v>
      </c>
      <c r="AC88" s="5"/>
      <c r="AD88" s="5"/>
      <c r="AE88" s="5"/>
      <c r="AF88" s="5"/>
      <c r="AG88" s="5"/>
      <c r="AH88" s="5"/>
      <c r="AI88" s="51"/>
    </row>
    <row r="89">
      <c r="A89" s="52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1"/>
    </row>
    <row r="90">
      <c r="A90" s="53"/>
      <c r="B90" s="5"/>
      <c r="C90" s="5"/>
      <c r="D90" s="5"/>
      <c r="E90" s="5"/>
      <c r="F90" s="5"/>
      <c r="G90" s="5"/>
      <c r="H90" s="5"/>
      <c r="I90" s="5"/>
      <c r="J90" s="37"/>
      <c r="K90" s="5"/>
      <c r="L90" s="5"/>
      <c r="M90" s="5"/>
      <c r="N90" s="5"/>
      <c r="O90" s="5"/>
      <c r="P90" s="5"/>
      <c r="Q90" s="5"/>
      <c r="R90" s="5"/>
      <c r="S90" s="37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1"/>
    </row>
    <row r="91">
      <c r="A91" s="23" t="s">
        <v>154</v>
      </c>
      <c r="B91" s="24" t="s">
        <v>16</v>
      </c>
      <c r="C91" s="25"/>
      <c r="D91" s="26">
        <v>1.0</v>
      </c>
      <c r="E91" s="27">
        <v>2.0</v>
      </c>
      <c r="F91" s="28">
        <v>3.0</v>
      </c>
      <c r="G91" s="29">
        <v>4.0</v>
      </c>
      <c r="H91" s="30">
        <v>5.0</v>
      </c>
      <c r="I91" s="5"/>
      <c r="J91" s="23" t="s">
        <v>155</v>
      </c>
      <c r="K91" s="24" t="s">
        <v>16</v>
      </c>
      <c r="L91" s="25"/>
      <c r="M91" s="26">
        <v>1.0</v>
      </c>
      <c r="N91" s="27">
        <v>2.0</v>
      </c>
      <c r="O91" s="28">
        <v>3.0</v>
      </c>
      <c r="P91" s="29">
        <v>4.0</v>
      </c>
      <c r="Q91" s="30">
        <v>5.0</v>
      </c>
      <c r="R91" s="5"/>
      <c r="S91" s="23" t="s">
        <v>156</v>
      </c>
      <c r="T91" s="24" t="s">
        <v>16</v>
      </c>
      <c r="U91" s="25"/>
      <c r="V91" s="26">
        <v>1.0</v>
      </c>
      <c r="W91" s="27">
        <v>2.0</v>
      </c>
      <c r="X91" s="28">
        <v>3.0</v>
      </c>
      <c r="Y91" s="29">
        <v>4.0</v>
      </c>
      <c r="Z91" s="30">
        <v>5.0</v>
      </c>
      <c r="AA91" s="5"/>
      <c r="AB91" s="54" t="s">
        <v>77</v>
      </c>
      <c r="AC91" s="55" t="s">
        <v>78</v>
      </c>
      <c r="AD91" s="55" t="s">
        <v>79</v>
      </c>
      <c r="AE91" s="55" t="s">
        <v>80</v>
      </c>
      <c r="AF91" s="55" t="s">
        <v>81</v>
      </c>
      <c r="AG91" s="55" t="s">
        <v>82</v>
      </c>
      <c r="AH91" s="55" t="s">
        <v>83</v>
      </c>
      <c r="AI91" s="55" t="s">
        <v>84</v>
      </c>
    </row>
    <row r="92">
      <c r="A92" s="31" t="s">
        <v>20</v>
      </c>
      <c r="B92" s="32" t="s">
        <v>21</v>
      </c>
      <c r="C92" s="32" t="s">
        <v>22</v>
      </c>
      <c r="D92" s="32" t="s">
        <v>23</v>
      </c>
      <c r="E92" s="32" t="s">
        <v>24</v>
      </c>
      <c r="F92" s="32" t="s">
        <v>25</v>
      </c>
      <c r="G92" s="32" t="s">
        <v>26</v>
      </c>
      <c r="H92" s="32" t="s">
        <v>27</v>
      </c>
      <c r="I92" s="5"/>
      <c r="J92" s="31" t="s">
        <v>20</v>
      </c>
      <c r="K92" s="32" t="s">
        <v>21</v>
      </c>
      <c r="L92" s="32" t="s">
        <v>22</v>
      </c>
      <c r="M92" s="32" t="s">
        <v>23</v>
      </c>
      <c r="N92" s="32" t="s">
        <v>24</v>
      </c>
      <c r="O92" s="32" t="s">
        <v>25</v>
      </c>
      <c r="P92" s="32" t="s">
        <v>26</v>
      </c>
      <c r="Q92" s="32" t="s">
        <v>27</v>
      </c>
      <c r="R92" s="5"/>
      <c r="S92" s="31" t="s">
        <v>20</v>
      </c>
      <c r="T92" s="32" t="s">
        <v>21</v>
      </c>
      <c r="U92" s="32" t="s">
        <v>22</v>
      </c>
      <c r="V92" s="32" t="s">
        <v>23</v>
      </c>
      <c r="W92" s="32" t="s">
        <v>24</v>
      </c>
      <c r="X92" s="32" t="s">
        <v>25</v>
      </c>
      <c r="Y92" s="32" t="s">
        <v>26</v>
      </c>
      <c r="Z92" s="32" t="s">
        <v>27</v>
      </c>
      <c r="AA92" s="5"/>
      <c r="AB92" s="33" t="s">
        <v>85</v>
      </c>
      <c r="AC92" s="56">
        <f>A67</f>
        <v>6.166666667</v>
      </c>
      <c r="AD92" s="56">
        <f>J67</f>
        <v>9</v>
      </c>
      <c r="AE92" s="56">
        <f>S67</f>
        <v>9.5</v>
      </c>
      <c r="AF92" s="56">
        <f>AB67</f>
        <v>10</v>
      </c>
      <c r="AG92" s="56">
        <f>A96</f>
        <v>8.5</v>
      </c>
      <c r="AH92" s="56">
        <f>J96</f>
        <v>7.166666667</v>
      </c>
      <c r="AI92" s="56">
        <f>S96</f>
        <v>7</v>
      </c>
    </row>
    <row r="93">
      <c r="A93" s="33" t="s">
        <v>28</v>
      </c>
      <c r="B93" s="34" t="s">
        <v>21</v>
      </c>
      <c r="C93" s="30">
        <v>5.0</v>
      </c>
      <c r="D93" s="30">
        <v>5.0</v>
      </c>
      <c r="E93" s="30">
        <v>5.0</v>
      </c>
      <c r="F93" s="30">
        <v>5.0</v>
      </c>
      <c r="G93" s="30">
        <v>5.0</v>
      </c>
      <c r="H93" s="30">
        <v>5.0</v>
      </c>
      <c r="I93" s="5"/>
      <c r="J93" s="33" t="s">
        <v>28</v>
      </c>
      <c r="K93" s="34" t="s">
        <v>21</v>
      </c>
      <c r="L93" s="26">
        <v>1.0</v>
      </c>
      <c r="M93" s="26">
        <v>1.0</v>
      </c>
      <c r="N93" s="26">
        <v>1.0</v>
      </c>
      <c r="O93" s="26">
        <v>1.0</v>
      </c>
      <c r="P93" s="26">
        <v>1.0</v>
      </c>
      <c r="Q93" s="26">
        <v>1.0</v>
      </c>
      <c r="R93" s="5"/>
      <c r="S93" s="35" t="s">
        <v>28</v>
      </c>
      <c r="T93" s="34" t="s">
        <v>21</v>
      </c>
      <c r="U93" s="28">
        <v>3.0</v>
      </c>
      <c r="V93" s="28">
        <v>3.0</v>
      </c>
      <c r="W93" s="28">
        <v>3.0</v>
      </c>
      <c r="X93" s="28">
        <v>3.0</v>
      </c>
      <c r="Y93" s="28">
        <v>3.0</v>
      </c>
      <c r="Z93" s="28">
        <v>3.0</v>
      </c>
      <c r="AA93" s="5"/>
      <c r="AB93" s="57"/>
      <c r="AC93" s="58" t="s">
        <v>86</v>
      </c>
      <c r="AD93" s="59"/>
      <c r="AE93" s="60">
        <f>SUM(AC92:AI92)</f>
        <v>57.33333333</v>
      </c>
      <c r="AF93" s="61" t="s">
        <v>87</v>
      </c>
      <c r="AG93" s="62"/>
      <c r="AH93" s="56">
        <f>AVERAGE(AC92:AI92)</f>
        <v>8.19047619</v>
      </c>
      <c r="AI93" s="51"/>
    </row>
    <row r="94">
      <c r="A94" s="38"/>
      <c r="B94" s="34" t="s">
        <v>30</v>
      </c>
      <c r="C94" s="30">
        <v>5.0</v>
      </c>
      <c r="D94" s="30">
        <v>5.0</v>
      </c>
      <c r="E94" s="30">
        <v>5.0</v>
      </c>
      <c r="F94" s="30">
        <v>5.0</v>
      </c>
      <c r="G94" s="30">
        <v>5.0</v>
      </c>
      <c r="H94" s="30">
        <v>5.0</v>
      </c>
      <c r="I94" s="37" t="s">
        <v>31</v>
      </c>
      <c r="J94" s="36" t="s">
        <v>161</v>
      </c>
      <c r="K94" s="34" t="s">
        <v>30</v>
      </c>
      <c r="L94" s="26">
        <v>1.0</v>
      </c>
      <c r="M94" s="26">
        <v>1.0</v>
      </c>
      <c r="N94" s="26">
        <v>1.0</v>
      </c>
      <c r="O94" s="26">
        <v>1.0</v>
      </c>
      <c r="P94" s="26">
        <v>1.0</v>
      </c>
      <c r="Q94" s="26">
        <v>1.0</v>
      </c>
      <c r="R94" s="5"/>
      <c r="S94" s="38"/>
      <c r="T94" s="34" t="s">
        <v>30</v>
      </c>
      <c r="U94" s="28">
        <v>3.0</v>
      </c>
      <c r="V94" s="28">
        <v>3.0</v>
      </c>
      <c r="W94" s="28">
        <v>3.0</v>
      </c>
      <c r="X94" s="28">
        <v>3.0</v>
      </c>
      <c r="Y94" s="28">
        <v>3.0</v>
      </c>
      <c r="Z94" s="28">
        <v>3.0</v>
      </c>
      <c r="AA94" s="5"/>
      <c r="AB94" s="63" t="s">
        <v>88</v>
      </c>
      <c r="AC94" s="56">
        <f>A71</f>
        <v>2.333333333</v>
      </c>
      <c r="AD94" s="56">
        <f>J71</f>
        <v>1.666666667</v>
      </c>
      <c r="AE94" s="56">
        <f>S71</f>
        <v>2.166666667</v>
      </c>
      <c r="AF94" s="56">
        <f>AB71</f>
        <v>1.166666667</v>
      </c>
      <c r="AG94" s="56">
        <f>A100</f>
        <v>3.333333333</v>
      </c>
      <c r="AH94" s="56">
        <f>J100</f>
        <v>2.333333333</v>
      </c>
      <c r="AI94" s="56">
        <f>S100</f>
        <v>4</v>
      </c>
    </row>
    <row r="95">
      <c r="A95" s="39"/>
      <c r="B95" s="40" t="s">
        <v>33</v>
      </c>
      <c r="C95" s="26">
        <v>1.0</v>
      </c>
      <c r="D95" s="26">
        <v>1.0</v>
      </c>
      <c r="E95" s="26">
        <v>1.0</v>
      </c>
      <c r="F95" s="26">
        <v>1.0</v>
      </c>
      <c r="G95" s="26">
        <v>1.0</v>
      </c>
      <c r="H95" s="26">
        <v>1.0</v>
      </c>
      <c r="I95" s="5"/>
      <c r="J95" s="39"/>
      <c r="K95" s="40" t="s">
        <v>33</v>
      </c>
      <c r="L95" s="26">
        <v>1.0</v>
      </c>
      <c r="M95" s="26">
        <v>1.0</v>
      </c>
      <c r="N95" s="28">
        <v>3.0</v>
      </c>
      <c r="O95" s="28">
        <v>3.0</v>
      </c>
      <c r="P95" s="28">
        <v>3.0</v>
      </c>
      <c r="Q95" s="28">
        <v>3.0</v>
      </c>
      <c r="R95" s="5"/>
      <c r="S95" s="39"/>
      <c r="T95" s="40" t="s">
        <v>33</v>
      </c>
      <c r="U95" s="30">
        <v>5.0</v>
      </c>
      <c r="V95" s="30">
        <v>5.0</v>
      </c>
      <c r="W95" s="30">
        <v>5.0</v>
      </c>
      <c r="X95" s="30">
        <v>5.0</v>
      </c>
      <c r="Y95" s="30">
        <v>5.0</v>
      </c>
      <c r="Z95" s="30">
        <v>5.0</v>
      </c>
      <c r="AA95" s="5"/>
      <c r="AB95" s="64"/>
      <c r="AC95" s="58" t="s">
        <v>86</v>
      </c>
      <c r="AD95" s="59"/>
      <c r="AE95" s="60">
        <f>SUM(AC94:AI94)</f>
        <v>17</v>
      </c>
      <c r="AF95" s="61" t="s">
        <v>87</v>
      </c>
      <c r="AG95" s="62"/>
      <c r="AH95" s="56">
        <f>AVERAGE(AC94:AI94)</f>
        <v>2.428571429</v>
      </c>
      <c r="AI95" s="51"/>
    </row>
    <row r="96">
      <c r="A96" s="41">
        <f>COUNTIF(C93:H116,"=1")/6</f>
        <v>8.5</v>
      </c>
      <c r="B96" s="40" t="s">
        <v>34</v>
      </c>
      <c r="C96" s="26">
        <v>1.0</v>
      </c>
      <c r="D96" s="26">
        <v>1.0</v>
      </c>
      <c r="E96" s="26">
        <v>1.0</v>
      </c>
      <c r="F96" s="26">
        <v>1.0</v>
      </c>
      <c r="G96" s="26">
        <v>1.0</v>
      </c>
      <c r="H96" s="26">
        <v>1.0</v>
      </c>
      <c r="I96" s="5"/>
      <c r="J96" s="41">
        <f>COUNTIF(L93:Q116,"=1")/6</f>
        <v>7.166666667</v>
      </c>
      <c r="K96" s="40" t="s">
        <v>34</v>
      </c>
      <c r="L96" s="28">
        <v>3.0</v>
      </c>
      <c r="M96" s="28">
        <v>3.0</v>
      </c>
      <c r="N96" s="28">
        <v>3.0</v>
      </c>
      <c r="O96" s="28">
        <v>3.0</v>
      </c>
      <c r="P96" s="28">
        <v>3.0</v>
      </c>
      <c r="Q96" s="28">
        <v>3.0</v>
      </c>
      <c r="R96" s="5"/>
      <c r="S96" s="41">
        <f>COUNTIF(U93:Z116,"=1")/6</f>
        <v>7</v>
      </c>
      <c r="T96" s="40" t="s">
        <v>34</v>
      </c>
      <c r="U96" s="30">
        <v>5.0</v>
      </c>
      <c r="V96" s="30">
        <v>5.0</v>
      </c>
      <c r="W96" s="30">
        <v>5.0</v>
      </c>
      <c r="X96" s="30">
        <v>5.0</v>
      </c>
      <c r="Y96" s="30">
        <v>5.0</v>
      </c>
      <c r="Z96" s="30">
        <v>5.0</v>
      </c>
      <c r="AA96" s="5"/>
      <c r="AB96" s="65" t="s">
        <v>89</v>
      </c>
      <c r="AC96" s="56">
        <f>A75</f>
        <v>2.166666667</v>
      </c>
      <c r="AD96" s="56">
        <f>J75</f>
        <v>3</v>
      </c>
      <c r="AE96" s="66" t="str">
        <f>S77</f>
        <v/>
      </c>
      <c r="AF96" s="56">
        <f>AB75</f>
        <v>3</v>
      </c>
      <c r="AG96" s="56">
        <f>A104</f>
        <v>1.333333333</v>
      </c>
      <c r="AH96" s="56">
        <f>J104</f>
        <v>8.5</v>
      </c>
      <c r="AI96" s="56">
        <f>S104</f>
        <v>2</v>
      </c>
    </row>
    <row r="97">
      <c r="A97" s="42" t="s">
        <v>35</v>
      </c>
      <c r="B97" s="40" t="s">
        <v>36</v>
      </c>
      <c r="C97" s="26">
        <v>1.0</v>
      </c>
      <c r="D97" s="26">
        <v>1.0</v>
      </c>
      <c r="E97" s="26">
        <v>1.0</v>
      </c>
      <c r="F97" s="26">
        <v>1.0</v>
      </c>
      <c r="G97" s="26">
        <v>1.0</v>
      </c>
      <c r="H97" s="26">
        <v>1.0</v>
      </c>
      <c r="I97" s="5"/>
      <c r="J97" s="42" t="s">
        <v>35</v>
      </c>
      <c r="K97" s="40" t="s">
        <v>36</v>
      </c>
      <c r="L97" s="28">
        <v>3.0</v>
      </c>
      <c r="M97" s="28">
        <v>3.0</v>
      </c>
      <c r="N97" s="28">
        <v>3.0</v>
      </c>
      <c r="O97" s="28">
        <v>3.0</v>
      </c>
      <c r="P97" s="28">
        <v>3.0</v>
      </c>
      <c r="Q97" s="28">
        <v>3.0</v>
      </c>
      <c r="R97" s="5"/>
      <c r="S97" s="42" t="s">
        <v>35</v>
      </c>
      <c r="T97" s="40" t="s">
        <v>36</v>
      </c>
      <c r="U97" s="30">
        <v>5.0</v>
      </c>
      <c r="V97" s="30">
        <v>5.0</v>
      </c>
      <c r="W97" s="30">
        <v>5.0</v>
      </c>
      <c r="X97" s="30">
        <v>5.0</v>
      </c>
      <c r="Y97" s="30">
        <v>5.0</v>
      </c>
      <c r="Z97" s="30">
        <v>5.0</v>
      </c>
      <c r="AA97" s="5"/>
      <c r="AB97" s="67"/>
      <c r="AC97" s="58" t="s">
        <v>86</v>
      </c>
      <c r="AD97" s="59"/>
      <c r="AE97" s="60">
        <f>SUM(AC96:AI96)</f>
        <v>20</v>
      </c>
      <c r="AF97" s="61" t="s">
        <v>87</v>
      </c>
      <c r="AG97" s="62"/>
      <c r="AH97" s="56">
        <f>AVERAGE(AC96:AI96)</f>
        <v>3.333333333</v>
      </c>
      <c r="AI97" s="51"/>
    </row>
    <row r="98">
      <c r="A98" s="68"/>
      <c r="B98" s="34" t="s">
        <v>38</v>
      </c>
      <c r="C98" s="26">
        <v>1.0</v>
      </c>
      <c r="D98" s="26">
        <v>1.0</v>
      </c>
      <c r="E98" s="26">
        <v>1.0</v>
      </c>
      <c r="F98" s="26">
        <v>1.0</v>
      </c>
      <c r="G98" s="26">
        <v>1.0</v>
      </c>
      <c r="H98" s="26">
        <v>1.0</v>
      </c>
      <c r="I98" s="5"/>
      <c r="J98" s="68"/>
      <c r="K98" s="34" t="s">
        <v>38</v>
      </c>
      <c r="L98" s="28">
        <v>3.0</v>
      </c>
      <c r="M98" s="28">
        <v>3.0</v>
      </c>
      <c r="N98" s="28">
        <v>3.0</v>
      </c>
      <c r="O98" s="28">
        <v>3.0</v>
      </c>
      <c r="P98" s="26">
        <v>1.0</v>
      </c>
      <c r="Q98" s="26">
        <v>1.0</v>
      </c>
      <c r="R98" s="5"/>
      <c r="S98" s="68"/>
      <c r="T98" s="34" t="s">
        <v>38</v>
      </c>
      <c r="U98" s="30">
        <v>5.0</v>
      </c>
      <c r="V98" s="30">
        <v>5.0</v>
      </c>
      <c r="W98" s="30">
        <v>5.0</v>
      </c>
      <c r="X98" s="30">
        <v>5.0</v>
      </c>
      <c r="Y98" s="30">
        <v>5.0</v>
      </c>
      <c r="Z98" s="30">
        <v>5.0</v>
      </c>
      <c r="AA98" s="5"/>
      <c r="AB98" s="69" t="s">
        <v>93</v>
      </c>
      <c r="AC98" s="56">
        <f>A79</f>
        <v>8.833333333</v>
      </c>
      <c r="AD98" s="56">
        <f>J79</f>
        <v>8</v>
      </c>
      <c r="AE98" s="56">
        <f>S79</f>
        <v>1</v>
      </c>
      <c r="AF98" s="56">
        <f>AB79</f>
        <v>2.166666667</v>
      </c>
      <c r="AG98" s="56">
        <f>A108</f>
        <v>7</v>
      </c>
      <c r="AH98" s="56">
        <f>J108</f>
        <v>3</v>
      </c>
      <c r="AI98" s="56">
        <f>S108</f>
        <v>0</v>
      </c>
    </row>
    <row r="99">
      <c r="A99" s="39"/>
      <c r="B99" s="40" t="s">
        <v>42</v>
      </c>
      <c r="C99" s="26">
        <v>1.0</v>
      </c>
      <c r="D99" s="26">
        <v>1.0</v>
      </c>
      <c r="E99" s="26">
        <v>1.0</v>
      </c>
      <c r="F99" s="26">
        <v>1.0</v>
      </c>
      <c r="G99" s="26">
        <v>1.0</v>
      </c>
      <c r="H99" s="26">
        <v>1.0</v>
      </c>
      <c r="I99" s="5"/>
      <c r="J99" s="39"/>
      <c r="K99" s="40" t="s">
        <v>42</v>
      </c>
      <c r="L99" s="26">
        <v>1.0</v>
      </c>
      <c r="M99" s="26">
        <v>1.0</v>
      </c>
      <c r="N99" s="26">
        <v>1.0</v>
      </c>
      <c r="O99" s="26">
        <v>1.0</v>
      </c>
      <c r="P99" s="26">
        <v>1.0</v>
      </c>
      <c r="Q99" s="26">
        <v>1.0</v>
      </c>
      <c r="R99" s="5"/>
      <c r="S99" s="39"/>
      <c r="T99" s="40" t="s">
        <v>42</v>
      </c>
      <c r="U99" s="26">
        <v>1.0</v>
      </c>
      <c r="V99" s="26">
        <v>1.0</v>
      </c>
      <c r="W99" s="26">
        <v>1.0</v>
      </c>
      <c r="X99" s="26">
        <v>1.0</v>
      </c>
      <c r="Y99" s="26">
        <v>1.0</v>
      </c>
      <c r="Z99" s="26">
        <v>1.0</v>
      </c>
      <c r="AA99" s="5"/>
      <c r="AB99" s="71"/>
      <c r="AC99" s="58" t="s">
        <v>86</v>
      </c>
      <c r="AD99" s="59"/>
      <c r="AE99" s="60">
        <f>SUM(AC98:AI98)</f>
        <v>30</v>
      </c>
      <c r="AF99" s="61" t="s">
        <v>87</v>
      </c>
      <c r="AG99" s="62"/>
      <c r="AH99" s="56">
        <f>AVERAGE(AC98:AI98)</f>
        <v>4.285714286</v>
      </c>
      <c r="AI99" s="51"/>
    </row>
    <row r="100">
      <c r="A100" s="41">
        <f>COUNTIF(C93:H116,"=2")/6</f>
        <v>3.333333333</v>
      </c>
      <c r="B100" s="40" t="s">
        <v>43</v>
      </c>
      <c r="C100" s="26">
        <v>1.0</v>
      </c>
      <c r="D100" s="26">
        <v>1.0</v>
      </c>
      <c r="E100" s="26">
        <v>1.0</v>
      </c>
      <c r="F100" s="26">
        <v>1.0</v>
      </c>
      <c r="G100" s="26">
        <v>1.0</v>
      </c>
      <c r="H100" s="26">
        <v>1.0</v>
      </c>
      <c r="I100" s="5"/>
      <c r="J100" s="41">
        <f>COUNTIF(L93:Q116,"=2")/6</f>
        <v>2.333333333</v>
      </c>
      <c r="K100" s="40" t="s">
        <v>43</v>
      </c>
      <c r="L100" s="26">
        <v>1.0</v>
      </c>
      <c r="M100" s="26">
        <v>1.0</v>
      </c>
      <c r="N100" s="26">
        <v>1.0</v>
      </c>
      <c r="O100" s="26">
        <v>1.0</v>
      </c>
      <c r="P100" s="26">
        <v>1.0</v>
      </c>
      <c r="Q100" s="26">
        <v>1.0</v>
      </c>
      <c r="R100" s="5"/>
      <c r="S100" s="41">
        <f>COUNTIF(U93:Z116,"=2")/6</f>
        <v>4</v>
      </c>
      <c r="T100" s="40" t="s">
        <v>43</v>
      </c>
      <c r="U100" s="26">
        <v>1.0</v>
      </c>
      <c r="V100" s="26">
        <v>1.0</v>
      </c>
      <c r="W100" s="26">
        <v>1.0</v>
      </c>
      <c r="X100" s="26">
        <v>1.0</v>
      </c>
      <c r="Y100" s="26">
        <v>1.0</v>
      </c>
      <c r="Z100" s="26">
        <v>1.0</v>
      </c>
      <c r="AA100" s="5"/>
      <c r="AB100" s="47" t="s">
        <v>98</v>
      </c>
      <c r="AC100" s="56">
        <f>A83</f>
        <v>4.5</v>
      </c>
      <c r="AD100" s="56">
        <f>J83</f>
        <v>2.333333333</v>
      </c>
      <c r="AE100" s="56">
        <f>S83</f>
        <v>7.666666667</v>
      </c>
      <c r="AF100" s="56">
        <f>AB83</f>
        <v>7.666666667</v>
      </c>
      <c r="AG100" s="56">
        <f>A112</f>
        <v>3.833333333</v>
      </c>
      <c r="AH100" s="56">
        <f>J112</f>
        <v>3</v>
      </c>
      <c r="AI100" s="56">
        <f>S112</f>
        <v>11</v>
      </c>
    </row>
    <row r="101">
      <c r="A101" s="44" t="s">
        <v>44</v>
      </c>
      <c r="B101" s="40" t="s">
        <v>45</v>
      </c>
      <c r="C101" s="26">
        <v>1.0</v>
      </c>
      <c r="D101" s="26">
        <v>1.0</v>
      </c>
      <c r="E101" s="26">
        <v>1.0</v>
      </c>
      <c r="F101" s="26">
        <v>1.0</v>
      </c>
      <c r="G101" s="26">
        <v>1.0</v>
      </c>
      <c r="H101" s="26">
        <v>1.0</v>
      </c>
      <c r="I101" s="5"/>
      <c r="J101" s="44" t="s">
        <v>44</v>
      </c>
      <c r="K101" s="40" t="s">
        <v>45</v>
      </c>
      <c r="L101" s="26">
        <v>1.0</v>
      </c>
      <c r="M101" s="26">
        <v>1.0</v>
      </c>
      <c r="N101" s="26">
        <v>1.0</v>
      </c>
      <c r="O101" s="26">
        <v>1.0</v>
      </c>
      <c r="P101" s="26">
        <v>1.0</v>
      </c>
      <c r="Q101" s="26">
        <v>1.0</v>
      </c>
      <c r="R101" s="5"/>
      <c r="S101" s="44" t="s">
        <v>44</v>
      </c>
      <c r="T101" s="40" t="s">
        <v>45</v>
      </c>
      <c r="U101" s="26">
        <v>1.0</v>
      </c>
      <c r="V101" s="26">
        <v>1.0</v>
      </c>
      <c r="W101" s="26">
        <v>1.0</v>
      </c>
      <c r="X101" s="26">
        <v>1.0</v>
      </c>
      <c r="Y101" s="26">
        <v>1.0</v>
      </c>
      <c r="Z101" s="26">
        <v>1.0</v>
      </c>
      <c r="AA101" s="5"/>
      <c r="AB101" s="80"/>
      <c r="AC101" s="58" t="s">
        <v>86</v>
      </c>
      <c r="AD101" s="59"/>
      <c r="AE101" s="60">
        <f>SUM(AC100:AI100)</f>
        <v>40</v>
      </c>
      <c r="AF101" s="61" t="s">
        <v>87</v>
      </c>
      <c r="AG101" s="62"/>
      <c r="AH101" s="56">
        <f>AVERAGE(AC100:AI100)</f>
        <v>5.714285714</v>
      </c>
      <c r="AI101" s="82"/>
    </row>
    <row r="102">
      <c r="A102" s="38"/>
      <c r="B102" s="34" t="s">
        <v>47</v>
      </c>
      <c r="C102" s="26">
        <v>1.0</v>
      </c>
      <c r="D102" s="26">
        <v>1.0</v>
      </c>
      <c r="E102" s="26">
        <v>1.0</v>
      </c>
      <c r="F102" s="27">
        <v>2.0</v>
      </c>
      <c r="G102" s="27">
        <v>2.0</v>
      </c>
      <c r="H102" s="27">
        <v>2.0</v>
      </c>
      <c r="I102" s="5"/>
      <c r="J102" s="36" t="s">
        <v>179</v>
      </c>
      <c r="K102" s="34" t="s">
        <v>47</v>
      </c>
      <c r="L102" s="26">
        <v>1.0</v>
      </c>
      <c r="M102" s="26">
        <v>1.0</v>
      </c>
      <c r="N102" s="26">
        <v>1.0</v>
      </c>
      <c r="O102" s="26">
        <v>1.0</v>
      </c>
      <c r="P102" s="26">
        <v>1.0</v>
      </c>
      <c r="Q102" s="26">
        <v>1.0</v>
      </c>
      <c r="R102" s="5"/>
      <c r="S102" s="38"/>
      <c r="T102" s="34" t="s">
        <v>47</v>
      </c>
      <c r="U102" s="26">
        <v>1.0</v>
      </c>
      <c r="V102" s="26">
        <v>1.0</v>
      </c>
      <c r="W102" s="26">
        <v>1.0</v>
      </c>
      <c r="X102" s="26">
        <v>1.0</v>
      </c>
      <c r="Y102" s="26">
        <v>1.0</v>
      </c>
      <c r="Z102" s="26">
        <v>1.0</v>
      </c>
      <c r="AA102" s="5"/>
      <c r="AB102" s="5"/>
      <c r="AC102" s="5"/>
      <c r="AD102" s="5"/>
      <c r="AE102" s="5"/>
      <c r="AF102" s="5"/>
      <c r="AG102" s="5"/>
      <c r="AH102" s="5"/>
      <c r="AI102" s="51"/>
    </row>
    <row r="103">
      <c r="A103" s="39"/>
      <c r="B103" s="40" t="s">
        <v>22</v>
      </c>
      <c r="C103" s="29">
        <v>4.0</v>
      </c>
      <c r="D103" s="29">
        <v>4.0</v>
      </c>
      <c r="E103" s="29">
        <v>4.0</v>
      </c>
      <c r="F103" s="29">
        <v>4.0</v>
      </c>
      <c r="G103" s="29">
        <v>4.0</v>
      </c>
      <c r="H103" s="29">
        <v>4.0</v>
      </c>
      <c r="I103" s="5"/>
      <c r="J103" s="43" t="s">
        <v>182</v>
      </c>
      <c r="K103" s="40" t="s">
        <v>22</v>
      </c>
      <c r="L103" s="26">
        <v>1.0</v>
      </c>
      <c r="M103" s="26">
        <v>1.0</v>
      </c>
      <c r="N103" s="26">
        <v>1.0</v>
      </c>
      <c r="O103" s="27">
        <v>2.0</v>
      </c>
      <c r="P103" s="27">
        <v>2.0</v>
      </c>
      <c r="Q103" s="27">
        <v>2.0</v>
      </c>
      <c r="R103" s="5"/>
      <c r="S103" s="39"/>
      <c r="T103" s="40" t="s">
        <v>22</v>
      </c>
      <c r="U103" s="26">
        <v>1.0</v>
      </c>
      <c r="V103" s="26">
        <v>1.0</v>
      </c>
      <c r="W103" s="26">
        <v>1.0</v>
      </c>
      <c r="X103" s="26">
        <v>1.0</v>
      </c>
      <c r="Y103" s="26">
        <v>1.0</v>
      </c>
      <c r="Z103" s="26">
        <v>1.0</v>
      </c>
      <c r="AA103" s="5"/>
      <c r="AB103" s="5"/>
      <c r="AC103" s="5"/>
      <c r="AD103" s="5"/>
      <c r="AE103" s="5"/>
      <c r="AF103" s="5"/>
      <c r="AG103" s="5"/>
      <c r="AH103" s="5"/>
      <c r="AI103" s="51"/>
    </row>
    <row r="104">
      <c r="A104" s="41">
        <f>COUNTIF(C93:H116,"=3")/6</f>
        <v>1.333333333</v>
      </c>
      <c r="B104" s="40" t="s">
        <v>50</v>
      </c>
      <c r="C104" s="29">
        <v>4.0</v>
      </c>
      <c r="D104" s="29">
        <v>4.0</v>
      </c>
      <c r="E104" s="29">
        <v>4.0</v>
      </c>
      <c r="F104" s="29">
        <v>4.0</v>
      </c>
      <c r="G104" s="29">
        <v>4.0</v>
      </c>
      <c r="H104" s="29">
        <v>4.0</v>
      </c>
      <c r="I104" s="5"/>
      <c r="J104" s="41">
        <f>COUNTIF(L93:Q116,"=3")/6</f>
        <v>8.5</v>
      </c>
      <c r="K104" s="40" t="s">
        <v>50</v>
      </c>
      <c r="L104" s="27">
        <v>2.0</v>
      </c>
      <c r="M104" s="27">
        <v>2.0</v>
      </c>
      <c r="N104" s="27">
        <v>2.0</v>
      </c>
      <c r="O104" s="27">
        <v>2.0</v>
      </c>
      <c r="P104" s="27">
        <v>2.0</v>
      </c>
      <c r="Q104" s="27">
        <v>2.0</v>
      </c>
      <c r="R104" s="5"/>
      <c r="S104" s="41">
        <f>COUNTIF(U93:Z116,"=3")/6</f>
        <v>2</v>
      </c>
      <c r="T104" s="40" t="s">
        <v>50</v>
      </c>
      <c r="U104" s="26">
        <v>1.0</v>
      </c>
      <c r="V104" s="26">
        <v>1.0</v>
      </c>
      <c r="W104" s="26">
        <v>1.0</v>
      </c>
      <c r="X104" s="26">
        <v>1.0</v>
      </c>
      <c r="Y104" s="26">
        <v>1.0</v>
      </c>
      <c r="Z104" s="26">
        <v>1.0</v>
      </c>
      <c r="AA104" s="5"/>
      <c r="AB104" s="5"/>
      <c r="AC104" s="5"/>
      <c r="AD104" s="5"/>
      <c r="AE104" s="5"/>
      <c r="AF104" s="5"/>
      <c r="AG104" s="5"/>
      <c r="AH104" s="5"/>
      <c r="AI104" s="51"/>
    </row>
    <row r="105">
      <c r="A105" s="45" t="s">
        <v>51</v>
      </c>
      <c r="B105" s="40" t="s">
        <v>52</v>
      </c>
      <c r="C105" s="29">
        <v>4.0</v>
      </c>
      <c r="D105" s="29">
        <v>4.0</v>
      </c>
      <c r="E105" s="29">
        <v>4.0</v>
      </c>
      <c r="F105" s="29">
        <v>4.0</v>
      </c>
      <c r="G105" s="29">
        <v>4.0</v>
      </c>
      <c r="H105" s="29">
        <v>4.0</v>
      </c>
      <c r="I105" s="5"/>
      <c r="J105" s="45" t="s">
        <v>51</v>
      </c>
      <c r="K105" s="40" t="s">
        <v>52</v>
      </c>
      <c r="L105" s="29">
        <v>4.0</v>
      </c>
      <c r="M105" s="29">
        <v>4.0</v>
      </c>
      <c r="N105" s="29">
        <v>4.0</v>
      </c>
      <c r="O105" s="29">
        <v>4.0</v>
      </c>
      <c r="P105" s="29">
        <v>4.0</v>
      </c>
      <c r="Q105" s="29">
        <v>4.0</v>
      </c>
      <c r="R105" s="5"/>
      <c r="S105" s="45" t="s">
        <v>51</v>
      </c>
      <c r="T105" s="40" t="s">
        <v>52</v>
      </c>
      <c r="U105" s="26">
        <v>1.0</v>
      </c>
      <c r="V105" s="26">
        <v>1.0</v>
      </c>
      <c r="W105" s="26">
        <v>1.0</v>
      </c>
      <c r="X105" s="26">
        <v>1.0</v>
      </c>
      <c r="Y105" s="26">
        <v>1.0</v>
      </c>
      <c r="Z105" s="26">
        <v>1.0</v>
      </c>
      <c r="AA105" s="5"/>
      <c r="AB105" s="5"/>
      <c r="AC105" s="5"/>
      <c r="AD105" s="5"/>
      <c r="AE105" s="5"/>
      <c r="AF105" s="5"/>
      <c r="AG105" s="5"/>
      <c r="AH105" s="5"/>
      <c r="AI105" s="51"/>
    </row>
    <row r="106">
      <c r="A106" s="36" t="s">
        <v>184</v>
      </c>
      <c r="B106" s="34" t="s">
        <v>54</v>
      </c>
      <c r="C106" s="27">
        <v>2.0</v>
      </c>
      <c r="D106" s="27">
        <v>2.0</v>
      </c>
      <c r="E106" s="27">
        <v>2.0</v>
      </c>
      <c r="F106" s="27">
        <v>2.0</v>
      </c>
      <c r="G106" s="27">
        <v>2.0</v>
      </c>
      <c r="H106" s="27">
        <v>2.0</v>
      </c>
      <c r="I106" s="5"/>
      <c r="J106" s="36" t="s">
        <v>185</v>
      </c>
      <c r="K106" s="34" t="s">
        <v>54</v>
      </c>
      <c r="L106" s="29">
        <v>4.0</v>
      </c>
      <c r="M106" s="29">
        <v>4.0</v>
      </c>
      <c r="N106" s="29">
        <v>4.0</v>
      </c>
      <c r="O106" s="29">
        <v>4.0</v>
      </c>
      <c r="P106" s="29">
        <v>4.0</v>
      </c>
      <c r="Q106" s="29">
        <v>4.0</v>
      </c>
      <c r="R106" s="5"/>
      <c r="S106" s="38"/>
      <c r="T106" s="34" t="s">
        <v>54</v>
      </c>
      <c r="U106" s="27">
        <v>2.0</v>
      </c>
      <c r="V106" s="27">
        <v>2.0</v>
      </c>
      <c r="W106" s="27">
        <v>2.0</v>
      </c>
      <c r="X106" s="27">
        <v>2.0</v>
      </c>
      <c r="Y106" s="27">
        <v>2.0</v>
      </c>
      <c r="Z106" s="27">
        <v>2.0</v>
      </c>
      <c r="AA106" s="5"/>
      <c r="AB106" s="5"/>
      <c r="AC106" s="5"/>
      <c r="AD106" s="5"/>
      <c r="AE106" s="5"/>
      <c r="AF106" s="5"/>
      <c r="AG106" s="5"/>
      <c r="AH106" s="5"/>
      <c r="AI106" s="51"/>
    </row>
    <row r="107">
      <c r="A107" s="43" t="s">
        <v>186</v>
      </c>
      <c r="B107" s="40" t="s">
        <v>58</v>
      </c>
      <c r="C107" s="28">
        <v>3.0</v>
      </c>
      <c r="D107" s="28">
        <v>3.0</v>
      </c>
      <c r="E107" s="28">
        <v>3.0</v>
      </c>
      <c r="F107" s="28">
        <v>3.0</v>
      </c>
      <c r="G107" s="28">
        <v>3.0</v>
      </c>
      <c r="H107" s="28">
        <v>3.0</v>
      </c>
      <c r="I107" s="5"/>
      <c r="J107" s="43" t="s">
        <v>187</v>
      </c>
      <c r="K107" s="40" t="s">
        <v>58</v>
      </c>
      <c r="L107" s="29">
        <v>4.0</v>
      </c>
      <c r="M107" s="29">
        <v>4.0</v>
      </c>
      <c r="N107" s="29">
        <v>4.0</v>
      </c>
      <c r="O107" s="29">
        <v>4.0</v>
      </c>
      <c r="P107" s="29">
        <v>4.0</v>
      </c>
      <c r="Q107" s="29">
        <v>4.0</v>
      </c>
      <c r="R107" s="5"/>
      <c r="S107" s="46"/>
      <c r="T107" s="40" t="s">
        <v>58</v>
      </c>
      <c r="U107" s="27">
        <v>2.0</v>
      </c>
      <c r="V107" s="27">
        <v>2.0</v>
      </c>
      <c r="W107" s="27">
        <v>2.0</v>
      </c>
      <c r="X107" s="27">
        <v>2.0</v>
      </c>
      <c r="Y107" s="27">
        <v>2.0</v>
      </c>
      <c r="Z107" s="27">
        <v>2.0</v>
      </c>
      <c r="AA107" s="5"/>
      <c r="AB107" s="5"/>
      <c r="AC107" s="5"/>
      <c r="AD107" s="5"/>
      <c r="AE107" s="5"/>
      <c r="AF107" s="5"/>
      <c r="AG107" s="5"/>
      <c r="AH107" s="5"/>
      <c r="AI107" s="51"/>
    </row>
    <row r="108">
      <c r="A108" s="41">
        <f>COUNTIF(C93:H116,"=4")/6</f>
        <v>7</v>
      </c>
      <c r="B108" s="40" t="s">
        <v>59</v>
      </c>
      <c r="C108" s="28">
        <v>3.0</v>
      </c>
      <c r="D108" s="28">
        <v>3.0</v>
      </c>
      <c r="E108" s="27">
        <v>2.0</v>
      </c>
      <c r="F108" s="27">
        <v>2.0</v>
      </c>
      <c r="G108" s="27">
        <v>2.0</v>
      </c>
      <c r="H108" s="30">
        <v>5.0</v>
      </c>
      <c r="I108" s="5"/>
      <c r="J108" s="41">
        <f>COUNTIF(L93:Q116,"=4")/6</f>
        <v>3</v>
      </c>
      <c r="K108" s="40" t="s">
        <v>59</v>
      </c>
      <c r="L108" s="27">
        <v>2.0</v>
      </c>
      <c r="M108" s="27">
        <v>2.0</v>
      </c>
      <c r="N108" s="27">
        <v>2.0</v>
      </c>
      <c r="O108" s="27">
        <v>2.0</v>
      </c>
      <c r="P108" s="27">
        <v>2.0</v>
      </c>
      <c r="Q108" s="28">
        <v>3.0</v>
      </c>
      <c r="R108" s="5"/>
      <c r="S108" s="41">
        <f>COUNTIF(U93:Z116,"=4")/6</f>
        <v>0</v>
      </c>
      <c r="T108" s="40" t="s">
        <v>59</v>
      </c>
      <c r="U108" s="30">
        <v>5.0</v>
      </c>
      <c r="V108" s="30">
        <v>5.0</v>
      </c>
      <c r="W108" s="30">
        <v>5.0</v>
      </c>
      <c r="X108" s="30">
        <v>5.0</v>
      </c>
      <c r="Y108" s="30">
        <v>5.0</v>
      </c>
      <c r="Z108" s="30">
        <v>5.0</v>
      </c>
      <c r="AA108" s="5"/>
      <c r="AB108" s="5"/>
      <c r="AC108" s="5"/>
      <c r="AD108" s="5"/>
      <c r="AE108" s="5"/>
      <c r="AF108" s="5"/>
      <c r="AG108" s="5"/>
      <c r="AH108" s="5"/>
      <c r="AI108" s="51"/>
    </row>
    <row r="109">
      <c r="A109" s="47" t="s">
        <v>60</v>
      </c>
      <c r="B109" s="40" t="s">
        <v>61</v>
      </c>
      <c r="C109" s="30">
        <v>5.0</v>
      </c>
      <c r="D109" s="30">
        <v>5.0</v>
      </c>
      <c r="E109" s="30">
        <v>5.0</v>
      </c>
      <c r="F109" s="30">
        <v>5.0</v>
      </c>
      <c r="G109" s="30">
        <v>5.0</v>
      </c>
      <c r="H109" s="30">
        <v>5.0</v>
      </c>
      <c r="I109" s="5"/>
      <c r="J109" s="47" t="s">
        <v>60</v>
      </c>
      <c r="K109" s="40" t="s">
        <v>61</v>
      </c>
      <c r="L109" s="28">
        <v>3.0</v>
      </c>
      <c r="M109" s="28">
        <v>3.0</v>
      </c>
      <c r="N109" s="28">
        <v>3.0</v>
      </c>
      <c r="O109" s="28">
        <v>3.0</v>
      </c>
      <c r="P109" s="28">
        <v>3.0</v>
      </c>
      <c r="Q109" s="28">
        <v>3.0</v>
      </c>
      <c r="R109" s="5"/>
      <c r="S109" s="47" t="s">
        <v>60</v>
      </c>
      <c r="T109" s="40" t="s">
        <v>61</v>
      </c>
      <c r="U109" s="30">
        <v>5.0</v>
      </c>
      <c r="V109" s="30">
        <v>5.0</v>
      </c>
      <c r="W109" s="30">
        <v>5.0</v>
      </c>
      <c r="X109" s="30">
        <v>5.0</v>
      </c>
      <c r="Y109" s="30">
        <v>5.0</v>
      </c>
      <c r="Z109" s="30">
        <v>5.0</v>
      </c>
      <c r="AA109" s="5"/>
      <c r="AB109" s="5"/>
      <c r="AC109" s="5"/>
      <c r="AD109" s="5"/>
      <c r="AE109" s="5"/>
      <c r="AF109" s="5"/>
      <c r="AG109" s="5"/>
      <c r="AH109" s="5"/>
      <c r="AI109" s="51"/>
    </row>
    <row r="110">
      <c r="A110" s="38"/>
      <c r="B110" s="34" t="s">
        <v>63</v>
      </c>
      <c r="C110" s="30">
        <v>5.0</v>
      </c>
      <c r="D110" s="30">
        <v>5.0</v>
      </c>
      <c r="E110" s="30">
        <v>5.0</v>
      </c>
      <c r="F110" s="30">
        <v>5.0</v>
      </c>
      <c r="G110" s="27">
        <v>2.0</v>
      </c>
      <c r="H110" s="27">
        <v>2.0</v>
      </c>
      <c r="I110" s="5"/>
      <c r="J110" s="38"/>
      <c r="K110" s="34" t="s">
        <v>63</v>
      </c>
      <c r="L110" s="28">
        <v>3.0</v>
      </c>
      <c r="M110" s="28">
        <v>3.0</v>
      </c>
      <c r="N110" s="28">
        <v>3.0</v>
      </c>
      <c r="O110" s="28">
        <v>3.0</v>
      </c>
      <c r="P110" s="28">
        <v>3.0</v>
      </c>
      <c r="Q110" s="28">
        <v>3.0</v>
      </c>
      <c r="R110" s="5"/>
      <c r="S110" s="38"/>
      <c r="T110" s="34" t="s">
        <v>63</v>
      </c>
      <c r="U110" s="30">
        <v>5.0</v>
      </c>
      <c r="V110" s="30">
        <v>5.0</v>
      </c>
      <c r="W110" s="30">
        <v>5.0</v>
      </c>
      <c r="X110" s="30">
        <v>5.0</v>
      </c>
      <c r="Y110" s="30">
        <v>5.0</v>
      </c>
      <c r="Z110" s="30">
        <v>5.0</v>
      </c>
      <c r="AA110" s="5"/>
      <c r="AB110" s="5"/>
      <c r="AC110" s="5"/>
      <c r="AD110" s="5"/>
      <c r="AE110" s="5"/>
      <c r="AF110" s="5"/>
      <c r="AG110" s="5"/>
      <c r="AH110" s="5"/>
      <c r="AI110" s="51"/>
    </row>
    <row r="111">
      <c r="A111" s="46"/>
      <c r="B111" s="40" t="s">
        <v>67</v>
      </c>
      <c r="C111" s="29">
        <v>4.0</v>
      </c>
      <c r="D111" s="29">
        <v>4.0</v>
      </c>
      <c r="E111" s="29">
        <v>4.0</v>
      </c>
      <c r="F111" s="29">
        <v>4.0</v>
      </c>
      <c r="G111" s="29">
        <v>4.0</v>
      </c>
      <c r="H111" s="29">
        <v>4.0</v>
      </c>
      <c r="I111" s="5"/>
      <c r="J111" s="46"/>
      <c r="K111" s="40" t="s">
        <v>67</v>
      </c>
      <c r="L111" s="28">
        <v>3.0</v>
      </c>
      <c r="M111" s="28">
        <v>3.0</v>
      </c>
      <c r="N111" s="28">
        <v>3.0</v>
      </c>
      <c r="O111" s="28">
        <v>3.0</v>
      </c>
      <c r="P111" s="28">
        <v>3.0</v>
      </c>
      <c r="Q111" s="28">
        <v>3.0</v>
      </c>
      <c r="R111" s="5"/>
      <c r="S111" s="46"/>
      <c r="T111" s="40" t="s">
        <v>67</v>
      </c>
      <c r="U111" s="30">
        <v>5.0</v>
      </c>
      <c r="V111" s="30">
        <v>5.0</v>
      </c>
      <c r="W111" s="30">
        <v>5.0</v>
      </c>
      <c r="X111" s="30">
        <v>5.0</v>
      </c>
      <c r="Y111" s="27">
        <v>2.0</v>
      </c>
      <c r="Z111" s="27">
        <v>2.0</v>
      </c>
      <c r="AA111" s="5"/>
      <c r="AB111" s="5"/>
      <c r="AC111" s="5"/>
      <c r="AD111" s="5"/>
      <c r="AE111" s="5"/>
      <c r="AF111" s="5"/>
      <c r="AG111" s="5"/>
      <c r="AH111" s="5"/>
      <c r="AI111" s="51"/>
    </row>
    <row r="112">
      <c r="A112" s="41">
        <f>COUNTIF(C93:H116,"=5")/6</f>
        <v>3.833333333</v>
      </c>
      <c r="B112" s="40" t="s">
        <v>68</v>
      </c>
      <c r="C112" s="29">
        <v>4.0</v>
      </c>
      <c r="D112" s="29">
        <v>4.0</v>
      </c>
      <c r="E112" s="29">
        <v>4.0</v>
      </c>
      <c r="F112" s="29">
        <v>4.0</v>
      </c>
      <c r="G112" s="29">
        <v>4.0</v>
      </c>
      <c r="H112" s="29">
        <v>4.0</v>
      </c>
      <c r="I112" s="5"/>
      <c r="J112" s="41">
        <f>COUNTIF(L93:Q116,"=5")/6</f>
        <v>3</v>
      </c>
      <c r="K112" s="40" t="s">
        <v>68</v>
      </c>
      <c r="L112" s="28">
        <v>3.0</v>
      </c>
      <c r="M112" s="28">
        <v>3.0</v>
      </c>
      <c r="N112" s="28">
        <v>3.0</v>
      </c>
      <c r="O112" s="28">
        <v>3.0</v>
      </c>
      <c r="P112" s="28">
        <v>3.0</v>
      </c>
      <c r="Q112" s="28">
        <v>3.0</v>
      </c>
      <c r="R112" s="5"/>
      <c r="S112" s="41">
        <f>COUNTIF(U93:Z116,"=5")/6</f>
        <v>11</v>
      </c>
      <c r="T112" s="40" t="s">
        <v>68</v>
      </c>
      <c r="U112" s="27">
        <v>2.0</v>
      </c>
      <c r="V112" s="27">
        <v>2.0</v>
      </c>
      <c r="W112" s="27">
        <v>2.0</v>
      </c>
      <c r="X112" s="27">
        <v>2.0</v>
      </c>
      <c r="Y112" s="27">
        <v>2.0</v>
      </c>
      <c r="Z112" s="27">
        <v>2.0</v>
      </c>
      <c r="AA112" s="5"/>
      <c r="AB112" s="5"/>
      <c r="AC112" s="5"/>
      <c r="AD112" s="5"/>
      <c r="AE112" s="5"/>
      <c r="AF112" s="5"/>
      <c r="AG112" s="5"/>
      <c r="AH112" s="5"/>
      <c r="AI112" s="51"/>
    </row>
    <row r="113">
      <c r="A113" s="48" t="s">
        <v>69</v>
      </c>
      <c r="B113" s="40" t="s">
        <v>23</v>
      </c>
      <c r="C113" s="29">
        <v>4.0</v>
      </c>
      <c r="D113" s="29">
        <v>4.0</v>
      </c>
      <c r="E113" s="29">
        <v>4.0</v>
      </c>
      <c r="F113" s="29">
        <v>4.0</v>
      </c>
      <c r="G113" s="29">
        <v>4.0</v>
      </c>
      <c r="H113" s="29">
        <v>4.0</v>
      </c>
      <c r="I113" s="5"/>
      <c r="J113" s="48" t="s">
        <v>69</v>
      </c>
      <c r="K113" s="40" t="s">
        <v>23</v>
      </c>
      <c r="L113" s="30">
        <v>5.0</v>
      </c>
      <c r="M113" s="30">
        <v>5.0</v>
      </c>
      <c r="N113" s="30">
        <v>5.0</v>
      </c>
      <c r="O113" s="30">
        <v>5.0</v>
      </c>
      <c r="P113" s="30">
        <v>5.0</v>
      </c>
      <c r="Q113" s="30">
        <v>5.0</v>
      </c>
      <c r="R113" s="5"/>
      <c r="S113" s="48" t="s">
        <v>69</v>
      </c>
      <c r="T113" s="40" t="s">
        <v>23</v>
      </c>
      <c r="U113" s="30">
        <v>5.0</v>
      </c>
      <c r="V113" s="30">
        <v>5.0</v>
      </c>
      <c r="W113" s="30">
        <v>5.0</v>
      </c>
      <c r="X113" s="30">
        <v>5.0</v>
      </c>
      <c r="Y113" s="30">
        <v>5.0</v>
      </c>
      <c r="Z113" s="30">
        <v>5.0</v>
      </c>
      <c r="AA113" s="5"/>
      <c r="AB113" s="5"/>
      <c r="AC113" s="5"/>
      <c r="AD113" s="5"/>
      <c r="AE113" s="5"/>
      <c r="AF113" s="5"/>
      <c r="AG113" s="5"/>
      <c r="AH113" s="5"/>
      <c r="AI113" s="51"/>
    </row>
    <row r="114">
      <c r="A114" s="46"/>
      <c r="B114" s="34" t="s">
        <v>70</v>
      </c>
      <c r="C114" s="29">
        <v>4.0</v>
      </c>
      <c r="D114" s="29">
        <v>4.0</v>
      </c>
      <c r="E114" s="29">
        <v>4.0</v>
      </c>
      <c r="F114" s="29">
        <v>4.0</v>
      </c>
      <c r="G114" s="29">
        <v>4.0</v>
      </c>
      <c r="H114" s="29">
        <v>4.0</v>
      </c>
      <c r="I114" s="5"/>
      <c r="J114" s="46"/>
      <c r="K114" s="34" t="s">
        <v>70</v>
      </c>
      <c r="L114" s="30">
        <v>5.0</v>
      </c>
      <c r="M114" s="30">
        <v>5.0</v>
      </c>
      <c r="N114" s="30">
        <v>5.0</v>
      </c>
      <c r="O114" s="30">
        <v>5.0</v>
      </c>
      <c r="P114" s="30">
        <v>5.0</v>
      </c>
      <c r="Q114" s="30">
        <v>5.0</v>
      </c>
      <c r="R114" s="5"/>
      <c r="S114" s="46"/>
      <c r="T114" s="34" t="s">
        <v>70</v>
      </c>
      <c r="U114" s="30">
        <v>5.0</v>
      </c>
      <c r="V114" s="30">
        <v>5.0</v>
      </c>
      <c r="W114" s="30">
        <v>5.0</v>
      </c>
      <c r="X114" s="30">
        <v>5.0</v>
      </c>
      <c r="Y114" s="30">
        <v>5.0</v>
      </c>
      <c r="Z114" s="30">
        <v>5.0</v>
      </c>
      <c r="AA114" s="5"/>
      <c r="AB114" s="5"/>
      <c r="AC114" s="5"/>
      <c r="AD114" s="5"/>
      <c r="AE114" s="5"/>
      <c r="AF114" s="5"/>
      <c r="AG114" s="5"/>
      <c r="AH114" s="5"/>
      <c r="AI114" s="51"/>
    </row>
    <row r="115">
      <c r="A115" s="39"/>
      <c r="B115" s="34" t="s">
        <v>72</v>
      </c>
      <c r="C115" s="27">
        <v>2.0</v>
      </c>
      <c r="D115" s="27">
        <v>2.0</v>
      </c>
      <c r="E115" s="27">
        <v>2.0</v>
      </c>
      <c r="F115" s="27">
        <v>2.0</v>
      </c>
      <c r="G115" s="27">
        <v>2.0</v>
      </c>
      <c r="H115" s="27">
        <v>2.0</v>
      </c>
      <c r="I115" s="5"/>
      <c r="J115" s="39"/>
      <c r="K115" s="34" t="s">
        <v>72</v>
      </c>
      <c r="L115" s="30">
        <v>5.0</v>
      </c>
      <c r="M115" s="30">
        <v>5.0</v>
      </c>
      <c r="N115" s="30">
        <v>5.0</v>
      </c>
      <c r="O115" s="30">
        <v>5.0</v>
      </c>
      <c r="P115" s="30">
        <v>5.0</v>
      </c>
      <c r="Q115" s="30">
        <v>5.0</v>
      </c>
      <c r="R115" s="5"/>
      <c r="S115" s="39"/>
      <c r="T115" s="34" t="s">
        <v>72</v>
      </c>
      <c r="U115" s="30">
        <v>5.0</v>
      </c>
      <c r="V115" s="30">
        <v>5.0</v>
      </c>
      <c r="W115" s="30">
        <v>5.0</v>
      </c>
      <c r="X115" s="30">
        <v>5.0</v>
      </c>
      <c r="Y115" s="30">
        <v>5.0</v>
      </c>
      <c r="Z115" s="30">
        <v>5.0</v>
      </c>
      <c r="AA115" s="5"/>
      <c r="AB115" s="5"/>
      <c r="AC115" s="5"/>
      <c r="AD115" s="5"/>
      <c r="AE115" s="5"/>
      <c r="AF115" s="5"/>
      <c r="AG115" s="5"/>
      <c r="AH115" s="5"/>
      <c r="AI115" s="51"/>
    </row>
    <row r="116">
      <c r="A116" s="49"/>
      <c r="B116" s="34" t="s">
        <v>73</v>
      </c>
      <c r="C116" s="26">
        <v>1.0</v>
      </c>
      <c r="D116" s="26">
        <v>1.0</v>
      </c>
      <c r="E116" s="26">
        <v>1.0</v>
      </c>
      <c r="F116" s="26">
        <v>1.0</v>
      </c>
      <c r="G116" s="26">
        <v>1.0</v>
      </c>
      <c r="H116" s="26">
        <v>1.0</v>
      </c>
      <c r="I116" s="5"/>
      <c r="J116" s="49"/>
      <c r="K116" s="34" t="s">
        <v>73</v>
      </c>
      <c r="L116" s="28">
        <v>3.0</v>
      </c>
      <c r="M116" s="28">
        <v>3.0</v>
      </c>
      <c r="N116" s="28">
        <v>3.0</v>
      </c>
      <c r="O116" s="28">
        <v>3.0</v>
      </c>
      <c r="P116" s="28">
        <v>3.0</v>
      </c>
      <c r="Q116" s="28">
        <v>3.0</v>
      </c>
      <c r="R116" s="5"/>
      <c r="S116" s="49"/>
      <c r="T116" s="34" t="s">
        <v>73</v>
      </c>
      <c r="U116" s="27">
        <v>2.0</v>
      </c>
      <c r="V116" s="27">
        <v>2.0</v>
      </c>
      <c r="W116" s="27">
        <v>2.0</v>
      </c>
      <c r="X116" s="27">
        <v>2.0</v>
      </c>
      <c r="Y116" s="30">
        <v>5.0</v>
      </c>
      <c r="Z116" s="30">
        <v>5.0</v>
      </c>
      <c r="AA116" s="5"/>
      <c r="AB116" s="5"/>
      <c r="AC116" s="5"/>
      <c r="AD116" s="5"/>
      <c r="AE116" s="5"/>
      <c r="AF116" s="5"/>
      <c r="AG116" s="5"/>
      <c r="AH116" s="5"/>
      <c r="AI116" s="51"/>
    </row>
    <row r="117">
      <c r="A117" s="50">
        <f>SUM(A96,A100,A104,A108,A112)</f>
        <v>24</v>
      </c>
      <c r="B117" s="5"/>
      <c r="C117" s="5"/>
      <c r="D117" s="5"/>
      <c r="E117" s="5"/>
      <c r="F117" s="5"/>
      <c r="G117" s="5"/>
      <c r="H117" s="5"/>
      <c r="I117" s="5"/>
      <c r="J117" s="50">
        <f>SUM(J96,J100,J104,J108,J112)</f>
        <v>24</v>
      </c>
      <c r="K117" s="5"/>
      <c r="L117" s="5"/>
      <c r="M117" s="5"/>
      <c r="N117" s="5"/>
      <c r="O117" s="5"/>
      <c r="P117" s="5"/>
      <c r="Q117" s="5"/>
      <c r="R117" s="5"/>
      <c r="S117" s="50">
        <f>SUM(S96,S100,S104,S108,S112)</f>
        <v>24</v>
      </c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1"/>
    </row>
    <row r="118">
      <c r="A118" s="86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2"/>
    </row>
    <row r="119">
      <c r="A119" s="90" t="s">
        <v>190</v>
      </c>
      <c r="B119" s="91"/>
      <c r="C119" s="91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4"/>
    </row>
    <row r="120">
      <c r="A120" s="53"/>
      <c r="B120" s="5"/>
      <c r="C120" s="5"/>
      <c r="D120" s="5"/>
      <c r="E120" s="5"/>
      <c r="F120" s="5"/>
      <c r="G120" s="5"/>
      <c r="H120" s="5"/>
      <c r="I120" s="5"/>
      <c r="J120" s="95"/>
      <c r="K120" s="5"/>
      <c r="L120" s="5"/>
      <c r="M120" s="5"/>
      <c r="N120" s="5"/>
      <c r="O120" s="5"/>
      <c r="P120" s="5"/>
      <c r="Q120" s="5"/>
      <c r="R120" s="5"/>
      <c r="S120" s="37"/>
      <c r="T120" s="5"/>
      <c r="U120" s="5"/>
      <c r="V120" s="5"/>
      <c r="W120" s="5"/>
      <c r="X120" s="5"/>
      <c r="Y120" s="5"/>
      <c r="Z120" s="5"/>
      <c r="AA120" s="5"/>
      <c r="AB120" s="37"/>
      <c r="AC120" s="5"/>
      <c r="AD120" s="5"/>
      <c r="AE120" s="5"/>
      <c r="AF120" s="5"/>
      <c r="AG120" s="5"/>
      <c r="AH120" s="5"/>
      <c r="AI120" s="51"/>
    </row>
    <row r="121">
      <c r="A121" s="23" t="s">
        <v>191</v>
      </c>
      <c r="B121" s="24" t="s">
        <v>16</v>
      </c>
      <c r="C121" s="25"/>
      <c r="D121" s="26">
        <v>1.0</v>
      </c>
      <c r="E121" s="27">
        <v>2.0</v>
      </c>
      <c r="F121" s="28">
        <v>3.0</v>
      </c>
      <c r="G121" s="29">
        <v>4.0</v>
      </c>
      <c r="H121" s="30">
        <v>5.0</v>
      </c>
      <c r="I121" s="5"/>
      <c r="J121" s="23" t="s">
        <v>192</v>
      </c>
      <c r="K121" s="24" t="s">
        <v>16</v>
      </c>
      <c r="L121" s="25"/>
      <c r="M121" s="26">
        <v>1.0</v>
      </c>
      <c r="N121" s="27">
        <v>2.0</v>
      </c>
      <c r="O121" s="28">
        <v>3.0</v>
      </c>
      <c r="P121" s="29">
        <v>4.0</v>
      </c>
      <c r="Q121" s="30">
        <v>5.0</v>
      </c>
      <c r="R121" s="5"/>
      <c r="S121" s="23" t="s">
        <v>193</v>
      </c>
      <c r="T121" s="24" t="s">
        <v>16</v>
      </c>
      <c r="U121" s="25"/>
      <c r="V121" s="26">
        <v>1.0</v>
      </c>
      <c r="W121" s="27">
        <v>2.0</v>
      </c>
      <c r="X121" s="28">
        <v>3.0</v>
      </c>
      <c r="Y121" s="29">
        <v>4.0</v>
      </c>
      <c r="Z121" s="30">
        <v>5.0</v>
      </c>
      <c r="AA121" s="5"/>
      <c r="AB121" s="23" t="s">
        <v>194</v>
      </c>
      <c r="AC121" s="24" t="s">
        <v>16</v>
      </c>
      <c r="AD121" s="25"/>
      <c r="AE121" s="26">
        <v>1.0</v>
      </c>
      <c r="AF121" s="27">
        <v>2.0</v>
      </c>
      <c r="AG121" s="28">
        <v>3.0</v>
      </c>
      <c r="AH121" s="29">
        <v>4.0</v>
      </c>
      <c r="AI121" s="30">
        <v>5.0</v>
      </c>
    </row>
    <row r="122">
      <c r="A122" s="31" t="s">
        <v>20</v>
      </c>
      <c r="B122" s="32" t="s">
        <v>21</v>
      </c>
      <c r="C122" s="32" t="s">
        <v>22</v>
      </c>
      <c r="D122" s="32" t="s">
        <v>23</v>
      </c>
      <c r="E122" s="32" t="s">
        <v>24</v>
      </c>
      <c r="F122" s="32" t="s">
        <v>25</v>
      </c>
      <c r="G122" s="32" t="s">
        <v>26</v>
      </c>
      <c r="H122" s="32" t="s">
        <v>27</v>
      </c>
      <c r="I122" s="5"/>
      <c r="J122" s="31" t="s">
        <v>20</v>
      </c>
      <c r="K122" s="32" t="s">
        <v>21</v>
      </c>
      <c r="L122" s="32" t="s">
        <v>22</v>
      </c>
      <c r="M122" s="32" t="s">
        <v>23</v>
      </c>
      <c r="N122" s="32" t="s">
        <v>24</v>
      </c>
      <c r="O122" s="32" t="s">
        <v>25</v>
      </c>
      <c r="P122" s="32" t="s">
        <v>26</v>
      </c>
      <c r="Q122" s="32" t="s">
        <v>27</v>
      </c>
      <c r="R122" s="5"/>
      <c r="S122" s="31" t="s">
        <v>20</v>
      </c>
      <c r="T122" s="32" t="s">
        <v>21</v>
      </c>
      <c r="U122" s="32" t="s">
        <v>22</v>
      </c>
      <c r="V122" s="32" t="s">
        <v>23</v>
      </c>
      <c r="W122" s="32" t="s">
        <v>24</v>
      </c>
      <c r="X122" s="32" t="s">
        <v>25</v>
      </c>
      <c r="Y122" s="32" t="s">
        <v>26</v>
      </c>
      <c r="Z122" s="32" t="s">
        <v>27</v>
      </c>
      <c r="AA122" s="5"/>
      <c r="AB122" s="31" t="s">
        <v>20</v>
      </c>
      <c r="AC122" s="32" t="s">
        <v>21</v>
      </c>
      <c r="AD122" s="32" t="s">
        <v>22</v>
      </c>
      <c r="AE122" s="32" t="s">
        <v>23</v>
      </c>
      <c r="AF122" s="32" t="s">
        <v>24</v>
      </c>
      <c r="AG122" s="32" t="s">
        <v>25</v>
      </c>
      <c r="AH122" s="32" t="s">
        <v>26</v>
      </c>
      <c r="AI122" s="32" t="s">
        <v>27</v>
      </c>
    </row>
    <row r="123">
      <c r="A123" s="33" t="s">
        <v>28</v>
      </c>
      <c r="B123" s="34" t="s">
        <v>21</v>
      </c>
      <c r="C123" s="28">
        <v>3.0</v>
      </c>
      <c r="D123" s="28">
        <v>3.0</v>
      </c>
      <c r="E123" s="28">
        <v>3.0</v>
      </c>
      <c r="F123" s="28">
        <v>3.0</v>
      </c>
      <c r="G123" s="28">
        <v>3.0</v>
      </c>
      <c r="H123" s="28">
        <v>3.0</v>
      </c>
      <c r="I123" s="5"/>
      <c r="J123" s="33" t="s">
        <v>28</v>
      </c>
      <c r="K123" s="34" t="s">
        <v>21</v>
      </c>
      <c r="L123" s="28">
        <v>3.0</v>
      </c>
      <c r="M123" s="28">
        <v>3.0</v>
      </c>
      <c r="N123" s="28">
        <v>3.0</v>
      </c>
      <c r="O123" s="28">
        <v>3.0</v>
      </c>
      <c r="P123" s="28">
        <v>3.0</v>
      </c>
      <c r="Q123" s="28">
        <v>3.0</v>
      </c>
      <c r="R123" s="5"/>
      <c r="S123" s="35" t="s">
        <v>28</v>
      </c>
      <c r="T123" s="34" t="s">
        <v>21</v>
      </c>
      <c r="U123" s="29">
        <v>4.0</v>
      </c>
      <c r="V123" s="29">
        <v>4.0</v>
      </c>
      <c r="W123" s="29">
        <v>4.0</v>
      </c>
      <c r="X123" s="29">
        <v>4.0</v>
      </c>
      <c r="Y123" s="29">
        <v>4.0</v>
      </c>
      <c r="Z123" s="29">
        <v>4.0</v>
      </c>
      <c r="AA123" s="5"/>
      <c r="AB123" s="35" t="s">
        <v>28</v>
      </c>
      <c r="AC123" s="34" t="s">
        <v>21</v>
      </c>
      <c r="AD123" s="30">
        <v>5.0</v>
      </c>
      <c r="AE123" s="30">
        <v>5.0</v>
      </c>
      <c r="AF123" s="30">
        <v>5.0</v>
      </c>
      <c r="AG123" s="30">
        <v>5.0</v>
      </c>
      <c r="AH123" s="30">
        <v>5.0</v>
      </c>
      <c r="AI123" s="30">
        <v>5.0</v>
      </c>
    </row>
    <row r="124">
      <c r="A124" s="38"/>
      <c r="B124" s="34" t="s">
        <v>30</v>
      </c>
      <c r="C124" s="28">
        <v>3.0</v>
      </c>
      <c r="D124" s="28">
        <v>3.0</v>
      </c>
      <c r="E124" s="28">
        <v>3.0</v>
      </c>
      <c r="F124" s="28">
        <v>3.0</v>
      </c>
      <c r="G124" s="30">
        <v>5.0</v>
      </c>
      <c r="H124" s="30">
        <v>5.0</v>
      </c>
      <c r="I124" s="37" t="s">
        <v>31</v>
      </c>
      <c r="J124" s="38"/>
      <c r="K124" s="34" t="s">
        <v>30</v>
      </c>
      <c r="L124" s="28">
        <v>3.0</v>
      </c>
      <c r="M124" s="28">
        <v>3.0</v>
      </c>
      <c r="N124" s="28">
        <v>3.0</v>
      </c>
      <c r="O124" s="28">
        <v>3.0</v>
      </c>
      <c r="P124" s="28">
        <v>3.0</v>
      </c>
      <c r="Q124" s="28">
        <v>3.0</v>
      </c>
      <c r="R124" s="5"/>
      <c r="S124" s="38"/>
      <c r="T124" s="34" t="s">
        <v>30</v>
      </c>
      <c r="U124" s="29">
        <v>4.0</v>
      </c>
      <c r="V124" s="29">
        <v>4.0</v>
      </c>
      <c r="W124" s="27">
        <v>2.0</v>
      </c>
      <c r="X124" s="27">
        <v>2.0</v>
      </c>
      <c r="Y124" s="27">
        <v>2.0</v>
      </c>
      <c r="Z124" s="27">
        <v>2.0</v>
      </c>
      <c r="AA124" s="5"/>
      <c r="AB124" s="38"/>
      <c r="AC124" s="34" t="s">
        <v>30</v>
      </c>
      <c r="AD124" s="30">
        <v>5.0</v>
      </c>
      <c r="AE124" s="30">
        <v>5.0</v>
      </c>
      <c r="AF124" s="30">
        <v>5.0</v>
      </c>
      <c r="AG124" s="29">
        <v>4.0</v>
      </c>
      <c r="AH124" s="29">
        <v>4.0</v>
      </c>
      <c r="AI124" s="29">
        <v>4.0</v>
      </c>
    </row>
    <row r="125">
      <c r="A125" s="39"/>
      <c r="B125" s="40" t="s">
        <v>33</v>
      </c>
      <c r="C125" s="30">
        <v>5.0</v>
      </c>
      <c r="D125" s="30">
        <v>5.0</v>
      </c>
      <c r="E125" s="30">
        <v>5.0</v>
      </c>
      <c r="F125" s="30">
        <v>5.0</v>
      </c>
      <c r="G125" s="30">
        <v>5.0</v>
      </c>
      <c r="H125" s="30">
        <v>5.0</v>
      </c>
      <c r="I125" s="5"/>
      <c r="J125" s="39"/>
      <c r="K125" s="40" t="s">
        <v>33</v>
      </c>
      <c r="L125" s="30">
        <v>5.0</v>
      </c>
      <c r="M125" s="30">
        <v>5.0</v>
      </c>
      <c r="N125" s="30">
        <v>5.0</v>
      </c>
      <c r="O125" s="30">
        <v>5.0</v>
      </c>
      <c r="P125" s="30">
        <v>5.0</v>
      </c>
      <c r="Q125" s="30">
        <v>5.0</v>
      </c>
      <c r="R125" s="5"/>
      <c r="S125" s="39"/>
      <c r="T125" s="40" t="s">
        <v>33</v>
      </c>
      <c r="U125" s="27">
        <v>2.0</v>
      </c>
      <c r="V125" s="28">
        <v>3.0</v>
      </c>
      <c r="W125" s="28">
        <v>3.0</v>
      </c>
      <c r="X125" s="28">
        <v>3.0</v>
      </c>
      <c r="Y125" s="28">
        <v>3.0</v>
      </c>
      <c r="Z125" s="28">
        <v>3.0</v>
      </c>
      <c r="AA125" s="5"/>
      <c r="AB125" s="39"/>
      <c r="AC125" s="40" t="s">
        <v>33</v>
      </c>
      <c r="AD125" s="29">
        <v>4.0</v>
      </c>
      <c r="AE125" s="29">
        <v>4.0</v>
      </c>
      <c r="AF125" s="29">
        <v>4.0</v>
      </c>
      <c r="AG125" s="29">
        <v>4.0</v>
      </c>
      <c r="AH125" s="29">
        <v>4.0</v>
      </c>
      <c r="AI125" s="29">
        <v>4.0</v>
      </c>
    </row>
    <row r="126">
      <c r="A126" s="41">
        <f>COUNTIF(C123:H146,"=1")/6</f>
        <v>8</v>
      </c>
      <c r="B126" s="40" t="s">
        <v>34</v>
      </c>
      <c r="C126" s="30">
        <v>5.0</v>
      </c>
      <c r="D126" s="30">
        <v>5.0</v>
      </c>
      <c r="E126" s="30">
        <v>5.0</v>
      </c>
      <c r="F126" s="30">
        <v>5.0</v>
      </c>
      <c r="G126" s="30">
        <v>5.0</v>
      </c>
      <c r="H126" s="30">
        <v>5.0</v>
      </c>
      <c r="I126" s="5"/>
      <c r="J126" s="41">
        <f>COUNTIF(L123:Q146,"=1")/6</f>
        <v>11</v>
      </c>
      <c r="K126" s="40" t="s">
        <v>34</v>
      </c>
      <c r="L126" s="30">
        <v>5.0</v>
      </c>
      <c r="M126" s="30">
        <v>5.0</v>
      </c>
      <c r="N126" s="30">
        <v>5.0</v>
      </c>
      <c r="O126" s="27">
        <v>2.0</v>
      </c>
      <c r="P126" s="27">
        <v>2.0</v>
      </c>
      <c r="Q126" s="27">
        <v>2.0</v>
      </c>
      <c r="R126" s="5"/>
      <c r="S126" s="41">
        <f>COUNTIF(U123:Z146,"=1")/6</f>
        <v>9.833333333</v>
      </c>
      <c r="T126" s="40" t="s">
        <v>34</v>
      </c>
      <c r="U126" s="28">
        <v>3.0</v>
      </c>
      <c r="V126" s="28">
        <v>3.0</v>
      </c>
      <c r="W126" s="28">
        <v>3.0</v>
      </c>
      <c r="X126" s="28">
        <v>3.0</v>
      </c>
      <c r="Y126" s="28">
        <v>3.0</v>
      </c>
      <c r="Z126" s="28">
        <v>3.0</v>
      </c>
      <c r="AA126" s="5"/>
      <c r="AB126" s="41">
        <f>COUNTIF(AD123:AI146,"=1")/6</f>
        <v>5</v>
      </c>
      <c r="AC126" s="40" t="s">
        <v>34</v>
      </c>
      <c r="AD126" s="27">
        <v>2.0</v>
      </c>
      <c r="AE126" s="27">
        <v>2.0</v>
      </c>
      <c r="AF126" s="27">
        <v>2.0</v>
      </c>
      <c r="AG126" s="27">
        <v>2.0</v>
      </c>
      <c r="AH126" s="27">
        <v>2.0</v>
      </c>
      <c r="AI126" s="27">
        <v>2.0</v>
      </c>
    </row>
    <row r="127">
      <c r="A127" s="42" t="s">
        <v>35</v>
      </c>
      <c r="B127" s="40" t="s">
        <v>36</v>
      </c>
      <c r="C127" s="30">
        <v>5.0</v>
      </c>
      <c r="D127" s="30">
        <v>5.0</v>
      </c>
      <c r="E127" s="30">
        <v>5.0</v>
      </c>
      <c r="F127" s="30">
        <v>5.0</v>
      </c>
      <c r="G127" s="30">
        <v>5.0</v>
      </c>
      <c r="H127" s="30">
        <v>5.0</v>
      </c>
      <c r="I127" s="5"/>
      <c r="J127" s="42" t="s">
        <v>35</v>
      </c>
      <c r="K127" s="40" t="s">
        <v>36</v>
      </c>
      <c r="L127" s="26">
        <v>1.0</v>
      </c>
      <c r="M127" s="26">
        <v>1.0</v>
      </c>
      <c r="N127" s="26">
        <v>1.0</v>
      </c>
      <c r="O127" s="26">
        <v>1.0</v>
      </c>
      <c r="P127" s="26">
        <v>1.0</v>
      </c>
      <c r="Q127" s="26">
        <v>1.0</v>
      </c>
      <c r="R127" s="5"/>
      <c r="S127" s="42" t="s">
        <v>35</v>
      </c>
      <c r="T127" s="40" t="s">
        <v>36</v>
      </c>
      <c r="U127" s="28">
        <v>3.0</v>
      </c>
      <c r="V127" s="28">
        <v>3.0</v>
      </c>
      <c r="W127" s="28">
        <v>3.0</v>
      </c>
      <c r="X127" s="28">
        <v>3.0</v>
      </c>
      <c r="Y127" s="28">
        <v>3.0</v>
      </c>
      <c r="Z127" s="28">
        <v>3.0</v>
      </c>
      <c r="AA127" s="5"/>
      <c r="AB127" s="42" t="s">
        <v>35</v>
      </c>
      <c r="AC127" s="40" t="s">
        <v>36</v>
      </c>
      <c r="AD127" s="27">
        <v>2.0</v>
      </c>
      <c r="AE127" s="27">
        <v>2.0</v>
      </c>
      <c r="AF127" s="27">
        <v>2.0</v>
      </c>
      <c r="AG127" s="27">
        <v>2.0</v>
      </c>
      <c r="AH127" s="27">
        <v>2.0</v>
      </c>
      <c r="AI127" s="27">
        <v>2.0</v>
      </c>
    </row>
    <row r="128">
      <c r="A128" s="68"/>
      <c r="B128" s="34" t="s">
        <v>38</v>
      </c>
      <c r="C128" s="30">
        <v>5.0</v>
      </c>
      <c r="D128" s="30">
        <v>5.0</v>
      </c>
      <c r="E128" s="30">
        <v>5.0</v>
      </c>
      <c r="F128" s="30">
        <v>5.0</v>
      </c>
      <c r="G128" s="30">
        <v>5.0</v>
      </c>
      <c r="H128" s="30">
        <v>5.0</v>
      </c>
      <c r="I128" s="5"/>
      <c r="J128" s="68"/>
      <c r="K128" s="34" t="s">
        <v>38</v>
      </c>
      <c r="L128" s="26">
        <v>1.0</v>
      </c>
      <c r="M128" s="26">
        <v>1.0</v>
      </c>
      <c r="N128" s="26">
        <v>1.0</v>
      </c>
      <c r="O128" s="26">
        <v>1.0</v>
      </c>
      <c r="P128" s="26">
        <v>1.0</v>
      </c>
      <c r="Q128" s="26">
        <v>1.0</v>
      </c>
      <c r="R128" s="5"/>
      <c r="S128" s="68"/>
      <c r="T128" s="34" t="s">
        <v>38</v>
      </c>
      <c r="U128" s="28">
        <v>3.0</v>
      </c>
      <c r="V128" s="28">
        <v>3.0</v>
      </c>
      <c r="W128" s="28">
        <v>3.0</v>
      </c>
      <c r="X128" s="28">
        <v>3.0</v>
      </c>
      <c r="Y128" s="26">
        <v>1.0</v>
      </c>
      <c r="Z128" s="26">
        <v>1.0</v>
      </c>
      <c r="AA128" s="5"/>
      <c r="AB128" s="36" t="s">
        <v>196</v>
      </c>
      <c r="AC128" s="34" t="s">
        <v>38</v>
      </c>
      <c r="AD128" s="28">
        <v>3.0</v>
      </c>
      <c r="AE128" s="28">
        <v>3.0</v>
      </c>
      <c r="AF128" s="28">
        <v>3.0</v>
      </c>
      <c r="AG128" s="28">
        <v>3.0</v>
      </c>
      <c r="AH128" s="28">
        <v>3.0</v>
      </c>
      <c r="AI128" s="28">
        <v>3.0</v>
      </c>
    </row>
    <row r="129">
      <c r="A129" s="39"/>
      <c r="B129" s="40" t="s">
        <v>42</v>
      </c>
      <c r="C129" s="26">
        <v>1.0</v>
      </c>
      <c r="D129" s="26">
        <v>1.0</v>
      </c>
      <c r="E129" s="26">
        <v>1.0</v>
      </c>
      <c r="F129" s="26">
        <v>1.0</v>
      </c>
      <c r="G129" s="26">
        <v>1.0</v>
      </c>
      <c r="H129" s="26">
        <v>1.0</v>
      </c>
      <c r="I129" s="5"/>
      <c r="J129" s="39"/>
      <c r="K129" s="40" t="s">
        <v>42</v>
      </c>
      <c r="L129" s="26">
        <v>1.0</v>
      </c>
      <c r="M129" s="26">
        <v>1.0</v>
      </c>
      <c r="N129" s="26">
        <v>1.0</v>
      </c>
      <c r="O129" s="26">
        <v>1.0</v>
      </c>
      <c r="P129" s="26">
        <v>1.0</v>
      </c>
      <c r="Q129" s="26">
        <v>1.0</v>
      </c>
      <c r="R129" s="5"/>
      <c r="S129" s="39"/>
      <c r="T129" s="40" t="s">
        <v>42</v>
      </c>
      <c r="U129" s="26">
        <v>1.0</v>
      </c>
      <c r="V129" s="26">
        <v>1.0</v>
      </c>
      <c r="W129" s="26">
        <v>1.0</v>
      </c>
      <c r="X129" s="26">
        <v>1.0</v>
      </c>
      <c r="Y129" s="26">
        <v>1.0</v>
      </c>
      <c r="Z129" s="26">
        <v>1.0</v>
      </c>
      <c r="AA129" s="5"/>
      <c r="AB129" s="39"/>
      <c r="AC129" s="40" t="s">
        <v>42</v>
      </c>
      <c r="AD129" s="26">
        <v>1.0</v>
      </c>
      <c r="AE129" s="26">
        <v>1.0</v>
      </c>
      <c r="AF129" s="26">
        <v>1.0</v>
      </c>
      <c r="AG129" s="26">
        <v>1.0</v>
      </c>
      <c r="AH129" s="26">
        <v>1.0</v>
      </c>
      <c r="AI129" s="26">
        <v>1.0</v>
      </c>
    </row>
    <row r="130">
      <c r="A130" s="41">
        <f>COUNTIF(C123:H146,"=2")/6</f>
        <v>1</v>
      </c>
      <c r="B130" s="40" t="s">
        <v>43</v>
      </c>
      <c r="C130" s="26">
        <v>1.0</v>
      </c>
      <c r="D130" s="26">
        <v>1.0</v>
      </c>
      <c r="E130" s="26">
        <v>1.0</v>
      </c>
      <c r="F130" s="26">
        <v>1.0</v>
      </c>
      <c r="G130" s="26">
        <v>1.0</v>
      </c>
      <c r="H130" s="26">
        <v>1.0</v>
      </c>
      <c r="I130" s="5"/>
      <c r="J130" s="41">
        <f>COUNTIF(L123:Q146,"=2")/6</f>
        <v>2</v>
      </c>
      <c r="K130" s="40" t="s">
        <v>43</v>
      </c>
      <c r="L130" s="26">
        <v>1.0</v>
      </c>
      <c r="M130" s="26">
        <v>1.0</v>
      </c>
      <c r="N130" s="26">
        <v>1.0</v>
      </c>
      <c r="O130" s="26">
        <v>1.0</v>
      </c>
      <c r="P130" s="26">
        <v>1.0</v>
      </c>
      <c r="Q130" s="26">
        <v>1.0</v>
      </c>
      <c r="R130" s="5"/>
      <c r="S130" s="41">
        <f>COUNTIF(U123:Z146,"=2")/6</f>
        <v>2</v>
      </c>
      <c r="T130" s="40" t="s">
        <v>43</v>
      </c>
      <c r="U130" s="26">
        <v>1.0</v>
      </c>
      <c r="V130" s="26">
        <v>1.0</v>
      </c>
      <c r="W130" s="26">
        <v>1.0</v>
      </c>
      <c r="X130" s="26">
        <v>1.0</v>
      </c>
      <c r="Y130" s="26">
        <v>1.0</v>
      </c>
      <c r="Z130" s="26">
        <v>1.0</v>
      </c>
      <c r="AA130" s="5"/>
      <c r="AB130" s="41">
        <f>COUNTIF(AD123:AI146,"=2")/6</f>
        <v>6.5</v>
      </c>
      <c r="AC130" s="40" t="s">
        <v>43</v>
      </c>
      <c r="AD130" s="26">
        <v>1.0</v>
      </c>
      <c r="AE130" s="26">
        <v>1.0</v>
      </c>
      <c r="AF130" s="26">
        <v>1.0</v>
      </c>
      <c r="AG130" s="26">
        <v>1.0</v>
      </c>
      <c r="AH130" s="26">
        <v>1.0</v>
      </c>
      <c r="AI130" s="26">
        <v>1.0</v>
      </c>
    </row>
    <row r="131">
      <c r="A131" s="44" t="s">
        <v>44</v>
      </c>
      <c r="B131" s="40" t="s">
        <v>45</v>
      </c>
      <c r="C131" s="26">
        <v>1.0</v>
      </c>
      <c r="D131" s="26">
        <v>1.0</v>
      </c>
      <c r="E131" s="26">
        <v>1.0</v>
      </c>
      <c r="F131" s="26">
        <v>1.0</v>
      </c>
      <c r="G131" s="26">
        <v>1.0</v>
      </c>
      <c r="H131" s="26">
        <v>1.0</v>
      </c>
      <c r="I131" s="5"/>
      <c r="J131" s="44" t="s">
        <v>44</v>
      </c>
      <c r="K131" s="40" t="s">
        <v>45</v>
      </c>
      <c r="L131" s="26">
        <v>1.0</v>
      </c>
      <c r="M131" s="26">
        <v>1.0</v>
      </c>
      <c r="N131" s="26">
        <v>1.0</v>
      </c>
      <c r="O131" s="26">
        <v>1.0</v>
      </c>
      <c r="P131" s="26">
        <v>1.0</v>
      </c>
      <c r="Q131" s="26">
        <v>1.0</v>
      </c>
      <c r="R131" s="5"/>
      <c r="S131" s="44" t="s">
        <v>44</v>
      </c>
      <c r="T131" s="40" t="s">
        <v>45</v>
      </c>
      <c r="U131" s="26">
        <v>1.0</v>
      </c>
      <c r="V131" s="26">
        <v>1.0</v>
      </c>
      <c r="W131" s="26">
        <v>1.0</v>
      </c>
      <c r="X131" s="26">
        <v>1.0</v>
      </c>
      <c r="Y131" s="26">
        <v>1.0</v>
      </c>
      <c r="Z131" s="26">
        <v>1.0</v>
      </c>
      <c r="AA131" s="5"/>
      <c r="AB131" s="44" t="s">
        <v>44</v>
      </c>
      <c r="AC131" s="40" t="s">
        <v>45</v>
      </c>
      <c r="AD131" s="26">
        <v>1.0</v>
      </c>
      <c r="AE131" s="26">
        <v>1.0</v>
      </c>
      <c r="AF131" s="26">
        <v>1.0</v>
      </c>
      <c r="AG131" s="26">
        <v>1.0</v>
      </c>
      <c r="AH131" s="26">
        <v>1.0</v>
      </c>
      <c r="AI131" s="26">
        <v>1.0</v>
      </c>
    </row>
    <row r="132">
      <c r="A132" s="38"/>
      <c r="B132" s="34" t="s">
        <v>47</v>
      </c>
      <c r="C132" s="26">
        <v>1.0</v>
      </c>
      <c r="D132" s="26">
        <v>1.0</v>
      </c>
      <c r="E132" s="26">
        <v>1.0</v>
      </c>
      <c r="F132" s="26">
        <v>1.0</v>
      </c>
      <c r="G132" s="26">
        <v>1.0</v>
      </c>
      <c r="H132" s="26">
        <v>1.0</v>
      </c>
      <c r="I132" s="5"/>
      <c r="J132" s="38"/>
      <c r="K132" s="34" t="s">
        <v>47</v>
      </c>
      <c r="L132" s="26">
        <v>1.0</v>
      </c>
      <c r="M132" s="26">
        <v>1.0</v>
      </c>
      <c r="N132" s="26">
        <v>1.0</v>
      </c>
      <c r="O132" s="26">
        <v>1.0</v>
      </c>
      <c r="P132" s="26">
        <v>1.0</v>
      </c>
      <c r="Q132" s="26">
        <v>1.0</v>
      </c>
      <c r="R132" s="5"/>
      <c r="S132" s="38"/>
      <c r="T132" s="34" t="s">
        <v>47</v>
      </c>
      <c r="U132" s="26">
        <v>1.0</v>
      </c>
      <c r="V132" s="26">
        <v>1.0</v>
      </c>
      <c r="W132" s="26">
        <v>1.0</v>
      </c>
      <c r="X132" s="26">
        <v>1.0</v>
      </c>
      <c r="Y132" s="26">
        <v>1.0</v>
      </c>
      <c r="Z132" s="26">
        <v>1.0</v>
      </c>
      <c r="AA132" s="5"/>
      <c r="AB132" s="36" t="s">
        <v>197</v>
      </c>
      <c r="AC132" s="34" t="s">
        <v>47</v>
      </c>
      <c r="AD132" s="26">
        <v>1.0</v>
      </c>
      <c r="AE132" s="26">
        <v>1.0</v>
      </c>
      <c r="AF132" s="26">
        <v>1.0</v>
      </c>
      <c r="AG132" s="26">
        <v>1.0</v>
      </c>
      <c r="AH132" s="26">
        <v>1.0</v>
      </c>
      <c r="AI132" s="26">
        <v>1.0</v>
      </c>
    </row>
    <row r="133">
      <c r="A133" s="39"/>
      <c r="B133" s="40" t="s">
        <v>22</v>
      </c>
      <c r="C133" s="26">
        <v>1.0</v>
      </c>
      <c r="D133" s="26">
        <v>1.0</v>
      </c>
      <c r="E133" s="26">
        <v>1.0</v>
      </c>
      <c r="F133" s="26">
        <v>1.0</v>
      </c>
      <c r="G133" s="26">
        <v>1.0</v>
      </c>
      <c r="H133" s="26">
        <v>1.0</v>
      </c>
      <c r="I133" s="5"/>
      <c r="J133" s="39"/>
      <c r="K133" s="40" t="s">
        <v>22</v>
      </c>
      <c r="L133" s="26">
        <v>1.0</v>
      </c>
      <c r="M133" s="26">
        <v>1.0</v>
      </c>
      <c r="N133" s="26">
        <v>1.0</v>
      </c>
      <c r="O133" s="26">
        <v>1.0</v>
      </c>
      <c r="P133" s="26">
        <v>1.0</v>
      </c>
      <c r="Q133" s="26">
        <v>1.0</v>
      </c>
      <c r="R133" s="5"/>
      <c r="S133" s="39"/>
      <c r="T133" s="40" t="s">
        <v>22</v>
      </c>
      <c r="U133" s="26">
        <v>1.0</v>
      </c>
      <c r="V133" s="26">
        <v>1.0</v>
      </c>
      <c r="W133" s="26">
        <v>1.0</v>
      </c>
      <c r="X133" s="26">
        <v>1.0</v>
      </c>
      <c r="Y133" s="26">
        <v>1.0</v>
      </c>
      <c r="Z133" s="26">
        <v>1.0</v>
      </c>
      <c r="AA133" s="5"/>
      <c r="AB133" s="39"/>
      <c r="AC133" s="40" t="s">
        <v>22</v>
      </c>
      <c r="AD133" s="26">
        <v>1.0</v>
      </c>
      <c r="AE133" s="26">
        <v>1.0</v>
      </c>
      <c r="AF133" s="26">
        <v>1.0</v>
      </c>
      <c r="AG133" s="26">
        <v>1.0</v>
      </c>
      <c r="AH133" s="26">
        <v>1.0</v>
      </c>
      <c r="AI133" s="26">
        <v>1.0</v>
      </c>
    </row>
    <row r="134">
      <c r="A134" s="41">
        <f>COUNTIF(C123:H146,"=3")/6</f>
        <v>3.666666667</v>
      </c>
      <c r="B134" s="40" t="s">
        <v>50</v>
      </c>
      <c r="C134" s="26">
        <v>1.0</v>
      </c>
      <c r="D134" s="26">
        <v>1.0</v>
      </c>
      <c r="E134" s="26">
        <v>1.0</v>
      </c>
      <c r="F134" s="26">
        <v>1.0</v>
      </c>
      <c r="G134" s="26">
        <v>1.0</v>
      </c>
      <c r="H134" s="26">
        <v>1.0</v>
      </c>
      <c r="I134" s="5"/>
      <c r="J134" s="41">
        <f>COUNTIF(L123:Q146,"=3")/6</f>
        <v>2</v>
      </c>
      <c r="K134" s="40" t="s">
        <v>50</v>
      </c>
      <c r="L134" s="26">
        <v>1.0</v>
      </c>
      <c r="M134" s="26">
        <v>1.0</v>
      </c>
      <c r="N134" s="26">
        <v>1.0</v>
      </c>
      <c r="O134" s="26">
        <v>1.0</v>
      </c>
      <c r="P134" s="26">
        <v>1.0</v>
      </c>
      <c r="Q134" s="26">
        <v>1.0</v>
      </c>
      <c r="R134" s="5"/>
      <c r="S134" s="41">
        <f>COUNTIF(U123:Z146,"=3")/6</f>
        <v>4.166666667</v>
      </c>
      <c r="T134" s="40" t="s">
        <v>50</v>
      </c>
      <c r="U134" s="26">
        <v>1.0</v>
      </c>
      <c r="V134" s="26">
        <v>1.0</v>
      </c>
      <c r="W134" s="26">
        <v>1.0</v>
      </c>
      <c r="X134" s="26">
        <v>1.0</v>
      </c>
      <c r="Y134" s="26">
        <v>1.0</v>
      </c>
      <c r="Z134" s="26">
        <v>1.0</v>
      </c>
      <c r="AA134" s="5"/>
      <c r="AB134" s="41">
        <f>COUNTIF(AD123:AI146,"=3")/6</f>
        <v>6.5</v>
      </c>
      <c r="AC134" s="40" t="s">
        <v>50</v>
      </c>
      <c r="AD134" s="28">
        <v>3.0</v>
      </c>
      <c r="AE134" s="28">
        <v>3.0</v>
      </c>
      <c r="AF134" s="28">
        <v>3.0</v>
      </c>
      <c r="AG134" s="28">
        <v>3.0</v>
      </c>
      <c r="AH134" s="28">
        <v>3.0</v>
      </c>
      <c r="AI134" s="28">
        <v>3.0</v>
      </c>
    </row>
    <row r="135">
      <c r="A135" s="45" t="s">
        <v>51</v>
      </c>
      <c r="B135" s="40" t="s">
        <v>52</v>
      </c>
      <c r="C135" s="26">
        <v>1.0</v>
      </c>
      <c r="D135" s="26">
        <v>1.0</v>
      </c>
      <c r="E135" s="26">
        <v>1.0</v>
      </c>
      <c r="F135" s="26">
        <v>1.0</v>
      </c>
      <c r="G135" s="26">
        <v>1.0</v>
      </c>
      <c r="H135" s="26">
        <v>1.0</v>
      </c>
      <c r="I135" s="5"/>
      <c r="J135" s="45" t="s">
        <v>51</v>
      </c>
      <c r="K135" s="40" t="s">
        <v>52</v>
      </c>
      <c r="L135" s="26">
        <v>1.0</v>
      </c>
      <c r="M135" s="26">
        <v>1.0</v>
      </c>
      <c r="N135" s="26">
        <v>1.0</v>
      </c>
      <c r="O135" s="26">
        <v>1.0</v>
      </c>
      <c r="P135" s="26">
        <v>1.0</v>
      </c>
      <c r="Q135" s="26">
        <v>1.0</v>
      </c>
      <c r="R135" s="5"/>
      <c r="S135" s="45" t="s">
        <v>51</v>
      </c>
      <c r="T135" s="40" t="s">
        <v>52</v>
      </c>
      <c r="U135" s="26">
        <v>1.0</v>
      </c>
      <c r="V135" s="26">
        <v>1.0</v>
      </c>
      <c r="W135" s="26">
        <v>1.0</v>
      </c>
      <c r="X135" s="26">
        <v>1.0</v>
      </c>
      <c r="Y135" s="26">
        <v>1.0</v>
      </c>
      <c r="Z135" s="26">
        <v>1.0</v>
      </c>
      <c r="AA135" s="5"/>
      <c r="AB135" s="45" t="s">
        <v>51</v>
      </c>
      <c r="AC135" s="40" t="s">
        <v>52</v>
      </c>
      <c r="AD135" s="28">
        <v>3.0</v>
      </c>
      <c r="AE135" s="28">
        <v>3.0</v>
      </c>
      <c r="AF135" s="28">
        <v>3.0</v>
      </c>
      <c r="AG135" s="28">
        <v>3.0</v>
      </c>
      <c r="AH135" s="28">
        <v>3.0</v>
      </c>
      <c r="AI135" s="28">
        <v>3.0</v>
      </c>
    </row>
    <row r="136">
      <c r="A136" s="38"/>
      <c r="B136" s="34" t="s">
        <v>54</v>
      </c>
      <c r="C136" s="26">
        <v>1.0</v>
      </c>
      <c r="D136" s="26">
        <v>1.0</v>
      </c>
      <c r="E136" s="26">
        <v>1.0</v>
      </c>
      <c r="F136" s="26">
        <v>1.0</v>
      </c>
      <c r="G136" s="26">
        <v>1.0</v>
      </c>
      <c r="H136" s="26">
        <v>1.0</v>
      </c>
      <c r="I136" s="5"/>
      <c r="J136" s="36" t="s">
        <v>198</v>
      </c>
      <c r="K136" s="34" t="s">
        <v>54</v>
      </c>
      <c r="L136" s="26">
        <v>1.0</v>
      </c>
      <c r="M136" s="26">
        <v>1.0</v>
      </c>
      <c r="N136" s="26">
        <v>1.0</v>
      </c>
      <c r="O136" s="26">
        <v>1.0</v>
      </c>
      <c r="P136" s="26">
        <v>1.0</v>
      </c>
      <c r="Q136" s="26">
        <v>1.0</v>
      </c>
      <c r="R136" s="5"/>
      <c r="S136" s="36" t="s">
        <v>199</v>
      </c>
      <c r="T136" s="34" t="s">
        <v>54</v>
      </c>
      <c r="U136" s="26">
        <v>1.0</v>
      </c>
      <c r="V136" s="26">
        <v>1.0</v>
      </c>
      <c r="W136" s="26">
        <v>1.0</v>
      </c>
      <c r="X136" s="26">
        <v>1.0</v>
      </c>
      <c r="Y136" s="26">
        <v>1.0</v>
      </c>
      <c r="Z136" s="26">
        <v>1.0</v>
      </c>
      <c r="AA136" s="5"/>
      <c r="AB136" s="36" t="s">
        <v>200</v>
      </c>
      <c r="AC136" s="34" t="s">
        <v>54</v>
      </c>
      <c r="AD136" s="28">
        <v>3.0</v>
      </c>
      <c r="AE136" s="28">
        <v>3.0</v>
      </c>
      <c r="AF136" s="28">
        <v>3.0</v>
      </c>
      <c r="AG136" s="28">
        <v>3.0</v>
      </c>
      <c r="AH136" s="28">
        <v>3.0</v>
      </c>
      <c r="AI136" s="28">
        <v>3.0</v>
      </c>
    </row>
    <row r="137">
      <c r="A137" s="46"/>
      <c r="B137" s="40" t="s">
        <v>58</v>
      </c>
      <c r="C137" s="29">
        <v>4.0</v>
      </c>
      <c r="D137" s="29">
        <v>4.0</v>
      </c>
      <c r="E137" s="29">
        <v>4.0</v>
      </c>
      <c r="F137" s="29">
        <v>4.0</v>
      </c>
      <c r="G137" s="29">
        <v>4.0</v>
      </c>
      <c r="H137" s="29">
        <v>4.0</v>
      </c>
      <c r="I137" s="5"/>
      <c r="J137" s="43" t="s">
        <v>201</v>
      </c>
      <c r="K137" s="40" t="s">
        <v>58</v>
      </c>
      <c r="L137" s="26">
        <v>1.0</v>
      </c>
      <c r="M137" s="26">
        <v>1.0</v>
      </c>
      <c r="N137" s="26">
        <v>1.0</v>
      </c>
      <c r="O137" s="26">
        <v>1.0</v>
      </c>
      <c r="P137" s="26">
        <v>1.0</v>
      </c>
      <c r="Q137" s="26">
        <v>1.0</v>
      </c>
      <c r="R137" s="5"/>
      <c r="S137" s="46"/>
      <c r="T137" s="40" t="s">
        <v>58</v>
      </c>
      <c r="U137" s="26">
        <v>1.0</v>
      </c>
      <c r="V137" s="26">
        <v>1.0</v>
      </c>
      <c r="W137" s="26">
        <v>1.0</v>
      </c>
      <c r="X137" s="26">
        <v>1.0</v>
      </c>
      <c r="Y137" s="26">
        <v>1.0</v>
      </c>
      <c r="Z137" s="26">
        <v>1.0</v>
      </c>
      <c r="AA137" s="5"/>
      <c r="AB137" s="46"/>
      <c r="AC137" s="40" t="s">
        <v>58</v>
      </c>
      <c r="AD137" s="28">
        <v>3.0</v>
      </c>
      <c r="AE137" s="28">
        <v>3.0</v>
      </c>
      <c r="AF137" s="28">
        <v>3.0</v>
      </c>
      <c r="AG137" s="28">
        <v>3.0</v>
      </c>
      <c r="AH137" s="27">
        <v>2.0</v>
      </c>
      <c r="AI137" s="27">
        <v>2.0</v>
      </c>
    </row>
    <row r="138">
      <c r="A138" s="41">
        <f>COUNTIF(C123:H146,"=4")/6</f>
        <v>2</v>
      </c>
      <c r="B138" s="40" t="s">
        <v>59</v>
      </c>
      <c r="C138" s="29">
        <v>4.0</v>
      </c>
      <c r="D138" s="29">
        <v>4.0</v>
      </c>
      <c r="E138" s="29">
        <v>4.0</v>
      </c>
      <c r="F138" s="29">
        <v>4.0</v>
      </c>
      <c r="G138" s="29">
        <v>4.0</v>
      </c>
      <c r="H138" s="29">
        <v>4.0</v>
      </c>
      <c r="I138" s="5"/>
      <c r="J138" s="41">
        <f>COUNTIF(L123:Q146,"=4")/6</f>
        <v>5</v>
      </c>
      <c r="K138" s="40" t="s">
        <v>59</v>
      </c>
      <c r="L138" s="27">
        <v>2.0</v>
      </c>
      <c r="M138" s="27">
        <v>2.0</v>
      </c>
      <c r="N138" s="27">
        <v>2.0</v>
      </c>
      <c r="O138" s="27">
        <v>2.0</v>
      </c>
      <c r="P138" s="27">
        <v>2.0</v>
      </c>
      <c r="Q138" s="27">
        <v>2.0</v>
      </c>
      <c r="R138" s="5"/>
      <c r="S138" s="41">
        <f>COUNTIF(U123:Z146,"=4")/6</f>
        <v>7.666666667</v>
      </c>
      <c r="T138" s="40" t="s">
        <v>59</v>
      </c>
      <c r="U138" s="26">
        <v>1.0</v>
      </c>
      <c r="V138" s="26">
        <v>1.0</v>
      </c>
      <c r="W138" s="26">
        <v>1.0</v>
      </c>
      <c r="X138" s="27">
        <v>2.0</v>
      </c>
      <c r="Y138" s="27">
        <v>2.0</v>
      </c>
      <c r="Z138" s="27">
        <v>2.0</v>
      </c>
      <c r="AA138" s="5"/>
      <c r="AB138" s="41">
        <f>COUNTIF(AD123:AI146,"=4")/6</f>
        <v>3.333333333</v>
      </c>
      <c r="AC138" s="40" t="s">
        <v>59</v>
      </c>
      <c r="AD138" s="27">
        <v>2.0</v>
      </c>
      <c r="AE138" s="27">
        <v>2.0</v>
      </c>
      <c r="AF138" s="27">
        <v>2.0</v>
      </c>
      <c r="AG138" s="27">
        <v>2.0</v>
      </c>
      <c r="AH138" s="27">
        <v>2.0</v>
      </c>
      <c r="AI138" s="27">
        <v>2.0</v>
      </c>
    </row>
    <row r="139">
      <c r="A139" s="47" t="s">
        <v>60</v>
      </c>
      <c r="B139" s="40" t="s">
        <v>61</v>
      </c>
      <c r="C139" s="27">
        <v>2.0</v>
      </c>
      <c r="D139" s="27">
        <v>2.0</v>
      </c>
      <c r="E139" s="27">
        <v>2.0</v>
      </c>
      <c r="F139" s="27">
        <v>2.0</v>
      </c>
      <c r="G139" s="27">
        <v>2.0</v>
      </c>
      <c r="H139" s="27">
        <v>2.0</v>
      </c>
      <c r="I139" s="5"/>
      <c r="J139" s="47" t="s">
        <v>60</v>
      </c>
      <c r="K139" s="40" t="s">
        <v>61</v>
      </c>
      <c r="L139" s="27">
        <v>2.0</v>
      </c>
      <c r="M139" s="27">
        <v>2.0</v>
      </c>
      <c r="N139" s="27">
        <v>2.0</v>
      </c>
      <c r="O139" s="30">
        <v>5.0</v>
      </c>
      <c r="P139" s="30">
        <v>5.0</v>
      </c>
      <c r="Q139" s="30">
        <v>5.0</v>
      </c>
      <c r="R139" s="5"/>
      <c r="S139" s="47" t="s">
        <v>60</v>
      </c>
      <c r="T139" s="40" t="s">
        <v>61</v>
      </c>
      <c r="U139" s="27">
        <v>2.0</v>
      </c>
      <c r="V139" s="27">
        <v>2.0</v>
      </c>
      <c r="W139" s="27">
        <v>2.0</v>
      </c>
      <c r="X139" s="27">
        <v>2.0</v>
      </c>
      <c r="Y139" s="29">
        <v>4.0</v>
      </c>
      <c r="Z139" s="29">
        <v>4.0</v>
      </c>
      <c r="AA139" s="5"/>
      <c r="AB139" s="47" t="s">
        <v>60</v>
      </c>
      <c r="AC139" s="40" t="s">
        <v>61</v>
      </c>
      <c r="AD139" s="27">
        <v>2.0</v>
      </c>
      <c r="AE139" s="27">
        <v>2.0</v>
      </c>
      <c r="AF139" s="27">
        <v>2.0</v>
      </c>
      <c r="AG139" s="27">
        <v>2.0</v>
      </c>
      <c r="AH139" s="27">
        <v>2.0</v>
      </c>
      <c r="AI139" s="27">
        <v>2.0</v>
      </c>
    </row>
    <row r="140">
      <c r="A140" s="38"/>
      <c r="B140" s="34" t="s">
        <v>63</v>
      </c>
      <c r="C140" s="28">
        <v>3.0</v>
      </c>
      <c r="D140" s="28">
        <v>3.0</v>
      </c>
      <c r="E140" s="28">
        <v>3.0</v>
      </c>
      <c r="F140" s="28">
        <v>3.0</v>
      </c>
      <c r="G140" s="28">
        <v>3.0</v>
      </c>
      <c r="H140" s="28">
        <v>3.0</v>
      </c>
      <c r="I140" s="5"/>
      <c r="J140" s="38"/>
      <c r="K140" s="34" t="s">
        <v>63</v>
      </c>
      <c r="L140" s="30">
        <v>5.0</v>
      </c>
      <c r="M140" s="30">
        <v>5.0</v>
      </c>
      <c r="N140" s="30">
        <v>5.0</v>
      </c>
      <c r="O140" s="30">
        <v>5.0</v>
      </c>
      <c r="P140" s="30">
        <v>5.0</v>
      </c>
      <c r="Q140" s="30">
        <v>5.0</v>
      </c>
      <c r="R140" s="5"/>
      <c r="S140" s="38"/>
      <c r="T140" s="34" t="s">
        <v>63</v>
      </c>
      <c r="U140" s="29">
        <v>4.0</v>
      </c>
      <c r="V140" s="29">
        <v>4.0</v>
      </c>
      <c r="W140" s="29">
        <v>4.0</v>
      </c>
      <c r="X140" s="29">
        <v>4.0</v>
      </c>
      <c r="Y140" s="29">
        <v>4.0</v>
      </c>
      <c r="Z140" s="29">
        <v>4.0</v>
      </c>
      <c r="AA140" s="5"/>
      <c r="AB140" s="38"/>
      <c r="AC140" s="34" t="s">
        <v>63</v>
      </c>
      <c r="AD140" s="27">
        <v>2.0</v>
      </c>
      <c r="AE140" s="27">
        <v>2.0</v>
      </c>
      <c r="AF140" s="27">
        <v>2.0</v>
      </c>
      <c r="AG140" s="27">
        <v>2.0</v>
      </c>
      <c r="AH140" s="27">
        <v>2.0</v>
      </c>
      <c r="AI140" s="27">
        <v>2.0</v>
      </c>
    </row>
    <row r="141">
      <c r="A141" s="46"/>
      <c r="B141" s="40" t="s">
        <v>67</v>
      </c>
      <c r="C141" s="28">
        <v>3.0</v>
      </c>
      <c r="D141" s="28">
        <v>3.0</v>
      </c>
      <c r="E141" s="28">
        <v>3.0</v>
      </c>
      <c r="F141" s="28">
        <v>3.0</v>
      </c>
      <c r="G141" s="28">
        <v>3.0</v>
      </c>
      <c r="H141" s="28">
        <v>3.0</v>
      </c>
      <c r="I141" s="5"/>
      <c r="J141" s="46"/>
      <c r="K141" s="40" t="s">
        <v>67</v>
      </c>
      <c r="L141" s="30">
        <v>5.0</v>
      </c>
      <c r="M141" s="30">
        <v>5.0</v>
      </c>
      <c r="N141" s="30">
        <v>5.0</v>
      </c>
      <c r="O141" s="30">
        <v>5.0</v>
      </c>
      <c r="P141" s="30">
        <v>5.0</v>
      </c>
      <c r="Q141" s="30">
        <v>5.0</v>
      </c>
      <c r="R141" s="5"/>
      <c r="S141" s="46"/>
      <c r="T141" s="40" t="s">
        <v>67</v>
      </c>
      <c r="U141" s="29">
        <v>4.0</v>
      </c>
      <c r="V141" s="29">
        <v>4.0</v>
      </c>
      <c r="W141" s="29">
        <v>4.0</v>
      </c>
      <c r="X141" s="29">
        <v>4.0</v>
      </c>
      <c r="Y141" s="29">
        <v>4.0</v>
      </c>
      <c r="Z141" s="29">
        <v>4.0</v>
      </c>
      <c r="AA141" s="5"/>
      <c r="AB141" s="46"/>
      <c r="AC141" s="40" t="s">
        <v>67</v>
      </c>
      <c r="AD141" s="27">
        <v>2.0</v>
      </c>
      <c r="AE141" s="27">
        <v>2.0</v>
      </c>
      <c r="AF141" s="27">
        <v>2.0</v>
      </c>
      <c r="AG141" s="27">
        <v>2.0</v>
      </c>
      <c r="AH141" s="27">
        <v>2.0</v>
      </c>
      <c r="AI141" s="27">
        <v>2.0</v>
      </c>
    </row>
    <row r="142">
      <c r="A142" s="41">
        <f>COUNTIF(C123:H146,"=5")/6</f>
        <v>9.333333333</v>
      </c>
      <c r="B142" s="40" t="s">
        <v>68</v>
      </c>
      <c r="C142" s="30">
        <v>5.0</v>
      </c>
      <c r="D142" s="30">
        <v>5.0</v>
      </c>
      <c r="E142" s="30">
        <v>5.0</v>
      </c>
      <c r="F142" s="30">
        <v>5.0</v>
      </c>
      <c r="G142" s="30">
        <v>5.0</v>
      </c>
      <c r="H142" s="30">
        <v>5.0</v>
      </c>
      <c r="I142" s="5"/>
      <c r="J142" s="41">
        <f>COUNTIF(L123:Q146,"=5")/6</f>
        <v>4</v>
      </c>
      <c r="K142" s="40" t="s">
        <v>68</v>
      </c>
      <c r="L142" s="29">
        <v>4.0</v>
      </c>
      <c r="M142" s="29">
        <v>4.0</v>
      </c>
      <c r="N142" s="29">
        <v>4.0</v>
      </c>
      <c r="O142" s="29">
        <v>4.0</v>
      </c>
      <c r="P142" s="29">
        <v>4.0</v>
      </c>
      <c r="Q142" s="29">
        <v>4.0</v>
      </c>
      <c r="R142" s="5"/>
      <c r="S142" s="41">
        <f>COUNTIF(U123:Z146,"=5")/6</f>
        <v>0.3333333333</v>
      </c>
      <c r="T142" s="40" t="s">
        <v>68</v>
      </c>
      <c r="U142" s="29">
        <v>4.0</v>
      </c>
      <c r="V142" s="29">
        <v>4.0</v>
      </c>
      <c r="W142" s="29">
        <v>4.0</v>
      </c>
      <c r="X142" s="29">
        <v>4.0</v>
      </c>
      <c r="Y142" s="29">
        <v>4.0</v>
      </c>
      <c r="Z142" s="29">
        <v>4.0</v>
      </c>
      <c r="AA142" s="5"/>
      <c r="AB142" s="41">
        <f>COUNTIF(AD123:AI146,"=5")/6</f>
        <v>2.666666667</v>
      </c>
      <c r="AC142" s="40" t="s">
        <v>68</v>
      </c>
      <c r="AD142" s="27">
        <v>2.0</v>
      </c>
      <c r="AE142" s="28">
        <v>3.0</v>
      </c>
      <c r="AF142" s="28">
        <v>3.0</v>
      </c>
      <c r="AG142" s="28">
        <v>3.0</v>
      </c>
      <c r="AH142" s="28">
        <v>3.0</v>
      </c>
      <c r="AI142" s="28">
        <v>3.0</v>
      </c>
    </row>
    <row r="143">
      <c r="A143" s="48" t="s">
        <v>69</v>
      </c>
      <c r="B143" s="40" t="s">
        <v>23</v>
      </c>
      <c r="C143" s="30">
        <v>5.0</v>
      </c>
      <c r="D143" s="30">
        <v>5.0</v>
      </c>
      <c r="E143" s="30">
        <v>5.0</v>
      </c>
      <c r="F143" s="30">
        <v>5.0</v>
      </c>
      <c r="G143" s="30">
        <v>5.0</v>
      </c>
      <c r="H143" s="30">
        <v>5.0</v>
      </c>
      <c r="I143" s="5"/>
      <c r="J143" s="48" t="s">
        <v>69</v>
      </c>
      <c r="K143" s="40" t="s">
        <v>23</v>
      </c>
      <c r="L143" s="29">
        <v>4.0</v>
      </c>
      <c r="M143" s="29">
        <v>4.0</v>
      </c>
      <c r="N143" s="29">
        <v>4.0</v>
      </c>
      <c r="O143" s="29">
        <v>4.0</v>
      </c>
      <c r="P143" s="29">
        <v>4.0</v>
      </c>
      <c r="Q143" s="29">
        <v>4.0</v>
      </c>
      <c r="R143" s="5"/>
      <c r="S143" s="48" t="s">
        <v>69</v>
      </c>
      <c r="T143" s="40" t="s">
        <v>23</v>
      </c>
      <c r="U143" s="29">
        <v>4.0</v>
      </c>
      <c r="V143" s="29">
        <v>4.0</v>
      </c>
      <c r="W143" s="29">
        <v>4.0</v>
      </c>
      <c r="X143" s="29">
        <v>4.0</v>
      </c>
      <c r="Y143" s="29">
        <v>4.0</v>
      </c>
      <c r="Z143" s="29">
        <v>4.0</v>
      </c>
      <c r="AA143" s="5"/>
      <c r="AB143" s="48" t="s">
        <v>69</v>
      </c>
      <c r="AC143" s="40" t="s">
        <v>23</v>
      </c>
      <c r="AD143" s="28">
        <v>3.0</v>
      </c>
      <c r="AE143" s="28">
        <v>3.0</v>
      </c>
      <c r="AF143" s="28">
        <v>3.0</v>
      </c>
      <c r="AG143" s="28">
        <v>3.0</v>
      </c>
      <c r="AH143" s="28">
        <v>3.0</v>
      </c>
      <c r="AI143" s="28">
        <v>3.0</v>
      </c>
    </row>
    <row r="144">
      <c r="A144" s="46"/>
      <c r="B144" s="34" t="s">
        <v>70</v>
      </c>
      <c r="C144" s="30">
        <v>5.0</v>
      </c>
      <c r="D144" s="30">
        <v>5.0</v>
      </c>
      <c r="E144" s="30">
        <v>5.0</v>
      </c>
      <c r="F144" s="30">
        <v>5.0</v>
      </c>
      <c r="G144" s="30">
        <v>5.0</v>
      </c>
      <c r="H144" s="30">
        <v>5.0</v>
      </c>
      <c r="I144" s="5"/>
      <c r="J144" s="46"/>
      <c r="K144" s="34" t="s">
        <v>70</v>
      </c>
      <c r="L144" s="29">
        <v>4.0</v>
      </c>
      <c r="M144" s="29">
        <v>4.0</v>
      </c>
      <c r="N144" s="29">
        <v>4.0</v>
      </c>
      <c r="O144" s="29">
        <v>4.0</v>
      </c>
      <c r="P144" s="29">
        <v>4.0</v>
      </c>
      <c r="Q144" s="29">
        <v>4.0</v>
      </c>
      <c r="R144" s="5"/>
      <c r="S144" s="43" t="s">
        <v>206</v>
      </c>
      <c r="T144" s="34" t="s">
        <v>70</v>
      </c>
      <c r="U144" s="29">
        <v>4.0</v>
      </c>
      <c r="V144" s="29">
        <v>4.0</v>
      </c>
      <c r="W144" s="29">
        <v>4.0</v>
      </c>
      <c r="X144" s="29">
        <v>4.0</v>
      </c>
      <c r="Y144" s="29">
        <v>4.0</v>
      </c>
      <c r="Z144" s="29">
        <v>4.0</v>
      </c>
      <c r="AA144" s="5"/>
      <c r="AB144" s="46"/>
      <c r="AC144" s="34" t="s">
        <v>70</v>
      </c>
      <c r="AD144" s="29">
        <v>4.0</v>
      </c>
      <c r="AE144" s="29">
        <v>4.0</v>
      </c>
      <c r="AF144" s="29">
        <v>4.0</v>
      </c>
      <c r="AG144" s="29">
        <v>4.0</v>
      </c>
      <c r="AH144" s="29">
        <v>4.0</v>
      </c>
      <c r="AI144" s="29">
        <v>4.0</v>
      </c>
    </row>
    <row r="145">
      <c r="A145" s="39"/>
      <c r="B145" s="34" t="s">
        <v>72</v>
      </c>
      <c r="C145" s="30">
        <v>5.0</v>
      </c>
      <c r="D145" s="30">
        <v>5.0</v>
      </c>
      <c r="E145" s="30">
        <v>5.0</v>
      </c>
      <c r="F145" s="30">
        <v>5.0</v>
      </c>
      <c r="G145" s="30">
        <v>5.0</v>
      </c>
      <c r="H145" s="30">
        <v>5.0</v>
      </c>
      <c r="I145" s="5"/>
      <c r="J145" s="39"/>
      <c r="K145" s="34" t="s">
        <v>72</v>
      </c>
      <c r="L145" s="29">
        <v>4.0</v>
      </c>
      <c r="M145" s="29">
        <v>4.0</v>
      </c>
      <c r="N145" s="29">
        <v>4.0</v>
      </c>
      <c r="O145" s="29">
        <v>4.0</v>
      </c>
      <c r="P145" s="29">
        <v>4.0</v>
      </c>
      <c r="Q145" s="29">
        <v>4.0</v>
      </c>
      <c r="R145" s="5"/>
      <c r="S145" s="39"/>
      <c r="T145" s="34" t="s">
        <v>72</v>
      </c>
      <c r="U145" s="29">
        <v>4.0</v>
      </c>
      <c r="V145" s="29">
        <v>4.0</v>
      </c>
      <c r="W145" s="29">
        <v>4.0</v>
      </c>
      <c r="X145" s="29">
        <v>4.0</v>
      </c>
      <c r="Y145" s="29">
        <v>4.0</v>
      </c>
      <c r="Z145" s="29">
        <v>4.0</v>
      </c>
      <c r="AA145" s="5"/>
      <c r="AB145" s="39"/>
      <c r="AC145" s="34" t="s">
        <v>72</v>
      </c>
      <c r="AD145" s="29">
        <v>4.0</v>
      </c>
      <c r="AE145" s="29">
        <v>4.0</v>
      </c>
      <c r="AF145" s="29">
        <v>4.0</v>
      </c>
      <c r="AG145" s="29">
        <v>4.0</v>
      </c>
      <c r="AH145" s="29">
        <v>4.0</v>
      </c>
      <c r="AI145" s="30">
        <v>5.0</v>
      </c>
    </row>
    <row r="146">
      <c r="A146" s="49"/>
      <c r="B146" s="34" t="s">
        <v>73</v>
      </c>
      <c r="C146" s="30">
        <v>5.0</v>
      </c>
      <c r="D146" s="30">
        <v>5.0</v>
      </c>
      <c r="E146" s="30">
        <v>5.0</v>
      </c>
      <c r="F146" s="30">
        <v>5.0</v>
      </c>
      <c r="G146" s="30">
        <v>5.0</v>
      </c>
      <c r="H146" s="30">
        <v>5.0</v>
      </c>
      <c r="I146" s="5"/>
      <c r="J146" s="49"/>
      <c r="K146" s="34" t="s">
        <v>73</v>
      </c>
      <c r="L146" s="29">
        <v>4.0</v>
      </c>
      <c r="M146" s="29">
        <v>4.0</v>
      </c>
      <c r="N146" s="29">
        <v>4.0</v>
      </c>
      <c r="O146" s="29">
        <v>4.0</v>
      </c>
      <c r="P146" s="29">
        <v>4.0</v>
      </c>
      <c r="Q146" s="29">
        <v>4.0</v>
      </c>
      <c r="R146" s="5"/>
      <c r="S146" s="49"/>
      <c r="T146" s="34" t="s">
        <v>73</v>
      </c>
      <c r="U146" s="28">
        <v>3.0</v>
      </c>
      <c r="V146" s="28">
        <v>3.0</v>
      </c>
      <c r="W146" s="28">
        <v>3.0</v>
      </c>
      <c r="X146" s="28">
        <v>3.0</v>
      </c>
      <c r="Y146" s="30">
        <v>5.0</v>
      </c>
      <c r="Z146" s="30">
        <v>5.0</v>
      </c>
      <c r="AA146" s="5"/>
      <c r="AB146" s="49"/>
      <c r="AC146" s="34" t="s">
        <v>73</v>
      </c>
      <c r="AD146" s="30">
        <v>5.0</v>
      </c>
      <c r="AE146" s="30">
        <v>5.0</v>
      </c>
      <c r="AF146" s="30">
        <v>5.0</v>
      </c>
      <c r="AG146" s="30">
        <v>5.0</v>
      </c>
      <c r="AH146" s="30">
        <v>5.0</v>
      </c>
      <c r="AI146" s="30">
        <v>5.0</v>
      </c>
    </row>
    <row r="147">
      <c r="A147" s="50">
        <f>SUM(A126,A130,A134,A138,A142)</f>
        <v>24</v>
      </c>
      <c r="B147" s="5"/>
      <c r="C147" s="5"/>
      <c r="D147" s="5"/>
      <c r="E147" s="5"/>
      <c r="F147" s="5"/>
      <c r="G147" s="5"/>
      <c r="H147" s="5"/>
      <c r="I147" s="5"/>
      <c r="J147" s="50">
        <f>SUM(J126,J130,J134,J138,J142)</f>
        <v>24</v>
      </c>
      <c r="K147" s="5"/>
      <c r="L147" s="5"/>
      <c r="M147" s="5"/>
      <c r="N147" s="5"/>
      <c r="O147" s="5"/>
      <c r="P147" s="5"/>
      <c r="Q147" s="5"/>
      <c r="R147" s="5"/>
      <c r="S147" s="50">
        <f>SUM(S126,S130,S134,S138,S142)</f>
        <v>24</v>
      </c>
      <c r="T147" s="5"/>
      <c r="U147" s="5"/>
      <c r="V147" s="5"/>
      <c r="W147" s="5"/>
      <c r="X147" s="5"/>
      <c r="Y147" s="5"/>
      <c r="Z147" s="5"/>
      <c r="AA147" s="5"/>
      <c r="AB147" s="50">
        <f>SUM(AB126,AB130,AB134,AB138,AB142)</f>
        <v>24</v>
      </c>
      <c r="AC147" s="5"/>
      <c r="AD147" s="5"/>
      <c r="AE147" s="5"/>
      <c r="AF147" s="5"/>
      <c r="AG147" s="5"/>
      <c r="AH147" s="5"/>
      <c r="AI147" s="51"/>
    </row>
    <row r="148">
      <c r="A148" s="52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1"/>
    </row>
    <row r="149">
      <c r="A149" s="53"/>
      <c r="B149" s="5"/>
      <c r="C149" s="5"/>
      <c r="D149" s="5"/>
      <c r="E149" s="5"/>
      <c r="F149" s="5"/>
      <c r="G149" s="5"/>
      <c r="H149" s="5"/>
      <c r="I149" s="5"/>
      <c r="J149" s="37"/>
      <c r="K149" s="5"/>
      <c r="L149" s="5"/>
      <c r="M149" s="5"/>
      <c r="N149" s="5"/>
      <c r="O149" s="5"/>
      <c r="P149" s="5"/>
      <c r="Q149" s="5"/>
      <c r="R149" s="5"/>
      <c r="S149" s="37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1"/>
    </row>
    <row r="150">
      <c r="A150" s="23" t="s">
        <v>207</v>
      </c>
      <c r="B150" s="24" t="s">
        <v>16</v>
      </c>
      <c r="C150" s="25"/>
      <c r="D150" s="26">
        <v>1.0</v>
      </c>
      <c r="E150" s="27">
        <v>2.0</v>
      </c>
      <c r="F150" s="28">
        <v>3.0</v>
      </c>
      <c r="G150" s="29">
        <v>4.0</v>
      </c>
      <c r="H150" s="30">
        <v>5.0</v>
      </c>
      <c r="I150" s="5"/>
      <c r="J150" s="23" t="s">
        <v>208</v>
      </c>
      <c r="K150" s="24" t="s">
        <v>16</v>
      </c>
      <c r="L150" s="25"/>
      <c r="M150" s="26">
        <v>1.0</v>
      </c>
      <c r="N150" s="27">
        <v>2.0</v>
      </c>
      <c r="O150" s="28">
        <v>3.0</v>
      </c>
      <c r="P150" s="29">
        <v>4.0</v>
      </c>
      <c r="Q150" s="30">
        <v>5.0</v>
      </c>
      <c r="R150" s="5"/>
      <c r="S150" s="54" t="s">
        <v>136</v>
      </c>
      <c r="T150" s="24" t="s">
        <v>16</v>
      </c>
      <c r="U150" s="25"/>
      <c r="V150" s="26">
        <v>1.0</v>
      </c>
      <c r="W150" s="27">
        <v>2.0</v>
      </c>
      <c r="X150" s="28">
        <v>3.0</v>
      </c>
      <c r="Y150" s="29">
        <v>4.0</v>
      </c>
      <c r="Z150" s="30">
        <v>5.0</v>
      </c>
      <c r="AA150" s="5"/>
      <c r="AB150" s="54" t="s">
        <v>77</v>
      </c>
      <c r="AC150" s="55" t="s">
        <v>78</v>
      </c>
      <c r="AD150" s="55" t="s">
        <v>79</v>
      </c>
      <c r="AE150" s="55" t="s">
        <v>80</v>
      </c>
      <c r="AF150" s="55" t="s">
        <v>81</v>
      </c>
      <c r="AG150" s="55" t="s">
        <v>82</v>
      </c>
      <c r="AH150" s="55" t="s">
        <v>83</v>
      </c>
      <c r="AI150" s="55" t="s">
        <v>84</v>
      </c>
    </row>
    <row r="151">
      <c r="A151" s="31" t="s">
        <v>20</v>
      </c>
      <c r="B151" s="32" t="s">
        <v>21</v>
      </c>
      <c r="C151" s="32" t="s">
        <v>22</v>
      </c>
      <c r="D151" s="32" t="s">
        <v>23</v>
      </c>
      <c r="E151" s="32" t="s">
        <v>24</v>
      </c>
      <c r="F151" s="32" t="s">
        <v>25</v>
      </c>
      <c r="G151" s="32" t="s">
        <v>26</v>
      </c>
      <c r="H151" s="32" t="s">
        <v>27</v>
      </c>
      <c r="I151" s="5"/>
      <c r="J151" s="31" t="s">
        <v>20</v>
      </c>
      <c r="K151" s="32" t="s">
        <v>21</v>
      </c>
      <c r="L151" s="32" t="s">
        <v>22</v>
      </c>
      <c r="M151" s="32" t="s">
        <v>23</v>
      </c>
      <c r="N151" s="32" t="s">
        <v>24</v>
      </c>
      <c r="O151" s="32" t="s">
        <v>25</v>
      </c>
      <c r="P151" s="32" t="s">
        <v>26</v>
      </c>
      <c r="Q151" s="32" t="s">
        <v>27</v>
      </c>
      <c r="R151" s="5"/>
      <c r="S151" s="31" t="s">
        <v>20</v>
      </c>
      <c r="T151" s="32" t="s">
        <v>21</v>
      </c>
      <c r="U151" s="32" t="s">
        <v>22</v>
      </c>
      <c r="V151" s="32" t="s">
        <v>23</v>
      </c>
      <c r="W151" s="32" t="s">
        <v>24</v>
      </c>
      <c r="X151" s="32" t="s">
        <v>25</v>
      </c>
      <c r="Y151" s="32" t="s">
        <v>26</v>
      </c>
      <c r="Z151" s="32" t="s">
        <v>27</v>
      </c>
      <c r="AA151" s="5"/>
      <c r="AB151" s="33" t="s">
        <v>85</v>
      </c>
      <c r="AC151" s="56">
        <f>A126</f>
        <v>8</v>
      </c>
      <c r="AD151" s="56">
        <f>J126</f>
        <v>11</v>
      </c>
      <c r="AE151" s="56">
        <f>S126</f>
        <v>9.833333333</v>
      </c>
      <c r="AF151" s="56">
        <f>AB126</f>
        <v>5</v>
      </c>
      <c r="AG151" s="56">
        <f>A155</f>
        <v>11</v>
      </c>
      <c r="AH151" s="56">
        <f>J155</f>
        <v>8.333333333</v>
      </c>
      <c r="AI151" s="56">
        <f>S155</f>
        <v>0</v>
      </c>
    </row>
    <row r="152">
      <c r="A152" s="33" t="s">
        <v>28</v>
      </c>
      <c r="B152" s="34" t="s">
        <v>21</v>
      </c>
      <c r="C152" s="28">
        <v>3.0</v>
      </c>
      <c r="D152" s="28">
        <v>3.0</v>
      </c>
      <c r="E152" s="28">
        <v>3.0</v>
      </c>
      <c r="F152" s="28">
        <v>3.0</v>
      </c>
      <c r="G152" s="28">
        <v>3.0</v>
      </c>
      <c r="H152" s="28">
        <v>3.0</v>
      </c>
      <c r="I152" s="5"/>
      <c r="J152" s="33" t="s">
        <v>28</v>
      </c>
      <c r="K152" s="34" t="s">
        <v>21</v>
      </c>
      <c r="L152" s="26">
        <v>1.0</v>
      </c>
      <c r="M152" s="26">
        <v>1.0</v>
      </c>
      <c r="N152" s="26">
        <v>1.0</v>
      </c>
      <c r="O152" s="26">
        <v>1.0</v>
      </c>
      <c r="P152" s="26">
        <v>1.0</v>
      </c>
      <c r="Q152" s="26">
        <v>1.0</v>
      </c>
      <c r="R152" s="5"/>
      <c r="S152" s="35" t="s">
        <v>28</v>
      </c>
      <c r="T152" s="34" t="s">
        <v>21</v>
      </c>
      <c r="U152" s="83"/>
      <c r="V152" s="83"/>
      <c r="W152" s="83"/>
      <c r="X152" s="83"/>
      <c r="Y152" s="83"/>
      <c r="Z152" s="83"/>
      <c r="AA152" s="5"/>
      <c r="AB152" s="57"/>
      <c r="AC152" s="58" t="s">
        <v>86</v>
      </c>
      <c r="AD152" s="59"/>
      <c r="AE152" s="60">
        <f>SUM(AC151:AI151)</f>
        <v>53.16666667</v>
      </c>
      <c r="AF152" s="61" t="s">
        <v>87</v>
      </c>
      <c r="AG152" s="62"/>
      <c r="AH152" s="56">
        <f>AVERAGE(AC151:AI151)</f>
        <v>7.595238095</v>
      </c>
      <c r="AI152" s="51"/>
    </row>
    <row r="153">
      <c r="A153" s="38"/>
      <c r="B153" s="34" t="s">
        <v>30</v>
      </c>
      <c r="C153" s="28">
        <v>3.0</v>
      </c>
      <c r="D153" s="28">
        <v>3.0</v>
      </c>
      <c r="E153" s="28">
        <v>3.0</v>
      </c>
      <c r="F153" s="28">
        <v>3.0</v>
      </c>
      <c r="G153" s="28">
        <v>3.0</v>
      </c>
      <c r="H153" s="28">
        <v>3.0</v>
      </c>
      <c r="I153" s="37" t="s">
        <v>31</v>
      </c>
      <c r="J153" s="38"/>
      <c r="K153" s="34" t="s">
        <v>30</v>
      </c>
      <c r="L153" s="26">
        <v>1.0</v>
      </c>
      <c r="M153" s="26">
        <v>1.0</v>
      </c>
      <c r="N153" s="26">
        <v>1.0</v>
      </c>
      <c r="O153" s="26">
        <v>1.0</v>
      </c>
      <c r="P153" s="26">
        <v>1.0</v>
      </c>
      <c r="Q153" s="26">
        <v>1.0</v>
      </c>
      <c r="R153" s="5"/>
      <c r="S153" s="38"/>
      <c r="T153" s="34" t="s">
        <v>30</v>
      </c>
      <c r="U153" s="83"/>
      <c r="V153" s="83"/>
      <c r="W153" s="83"/>
      <c r="X153" s="83"/>
      <c r="Y153" s="83"/>
      <c r="Z153" s="83"/>
      <c r="AA153" s="5"/>
      <c r="AB153" s="63" t="s">
        <v>88</v>
      </c>
      <c r="AC153" s="56">
        <f>A130</f>
        <v>1</v>
      </c>
      <c r="AD153" s="56">
        <f>J130</f>
        <v>2</v>
      </c>
      <c r="AE153" s="56">
        <f>S130</f>
        <v>2</v>
      </c>
      <c r="AF153" s="56">
        <f>AB130</f>
        <v>6.5</v>
      </c>
      <c r="AG153" s="56">
        <f>A159</f>
        <v>1.833333333</v>
      </c>
      <c r="AH153" s="56">
        <f>J159</f>
        <v>2.333333333</v>
      </c>
      <c r="AI153" s="56">
        <f>S159</f>
        <v>0</v>
      </c>
    </row>
    <row r="154">
      <c r="A154" s="39"/>
      <c r="B154" s="40" t="s">
        <v>33</v>
      </c>
      <c r="C154" s="26">
        <v>1.0</v>
      </c>
      <c r="D154" s="26">
        <v>1.0</v>
      </c>
      <c r="E154" s="26">
        <v>1.0</v>
      </c>
      <c r="F154" s="26">
        <v>1.0</v>
      </c>
      <c r="G154" s="26">
        <v>1.0</v>
      </c>
      <c r="H154" s="26">
        <v>1.0</v>
      </c>
      <c r="I154" s="5"/>
      <c r="J154" s="39"/>
      <c r="K154" s="40" t="s">
        <v>33</v>
      </c>
      <c r="L154" s="26">
        <v>1.0</v>
      </c>
      <c r="M154" s="26">
        <v>1.0</v>
      </c>
      <c r="N154" s="26">
        <v>1.0</v>
      </c>
      <c r="O154" s="26">
        <v>1.0</v>
      </c>
      <c r="P154" s="26">
        <v>1.0</v>
      </c>
      <c r="Q154" s="26">
        <v>1.0</v>
      </c>
      <c r="R154" s="5"/>
      <c r="S154" s="39"/>
      <c r="T154" s="40" t="s">
        <v>33</v>
      </c>
      <c r="U154" s="83"/>
      <c r="V154" s="83"/>
      <c r="W154" s="83"/>
      <c r="X154" s="83"/>
      <c r="Y154" s="83"/>
      <c r="Z154" s="83"/>
      <c r="AA154" s="5"/>
      <c r="AB154" s="64"/>
      <c r="AC154" s="58" t="s">
        <v>86</v>
      </c>
      <c r="AD154" s="59"/>
      <c r="AE154" s="60">
        <f>SUM(AC153:AI153)</f>
        <v>15.66666667</v>
      </c>
      <c r="AF154" s="61" t="s">
        <v>87</v>
      </c>
      <c r="AG154" s="62"/>
      <c r="AH154" s="56">
        <f>AVERAGE(AC153:AI153)</f>
        <v>2.238095238</v>
      </c>
      <c r="AI154" s="51"/>
    </row>
    <row r="155">
      <c r="A155" s="41">
        <f>COUNTIF(C152:H175,"=1")/6</f>
        <v>11</v>
      </c>
      <c r="B155" s="40" t="s">
        <v>34</v>
      </c>
      <c r="C155" s="26">
        <v>1.0</v>
      </c>
      <c r="D155" s="26">
        <v>1.0</v>
      </c>
      <c r="E155" s="26">
        <v>1.0</v>
      </c>
      <c r="F155" s="26">
        <v>1.0</v>
      </c>
      <c r="G155" s="26">
        <v>1.0</v>
      </c>
      <c r="H155" s="26">
        <v>1.0</v>
      </c>
      <c r="I155" s="5"/>
      <c r="J155" s="41">
        <f>COUNTIF(L152:Q175,"=1")/6</f>
        <v>8.333333333</v>
      </c>
      <c r="K155" s="40" t="s">
        <v>34</v>
      </c>
      <c r="L155" s="26">
        <v>1.0</v>
      </c>
      <c r="M155" s="26">
        <v>1.0</v>
      </c>
      <c r="N155" s="26">
        <v>1.0</v>
      </c>
      <c r="O155" s="26">
        <v>1.0</v>
      </c>
      <c r="P155" s="26">
        <v>1.0</v>
      </c>
      <c r="Q155" s="26">
        <v>1.0</v>
      </c>
      <c r="R155" s="5"/>
      <c r="S155" s="41">
        <f>COUNTIF(U152:Z175,"=1")/6</f>
        <v>0</v>
      </c>
      <c r="T155" s="40" t="s">
        <v>34</v>
      </c>
      <c r="U155" s="83"/>
      <c r="V155" s="83"/>
      <c r="W155" s="83"/>
      <c r="X155" s="83"/>
      <c r="Y155" s="83"/>
      <c r="Z155" s="83"/>
      <c r="AA155" s="5"/>
      <c r="AB155" s="65" t="s">
        <v>89</v>
      </c>
      <c r="AC155" s="56">
        <f>A134</f>
        <v>3.666666667</v>
      </c>
      <c r="AD155" s="56">
        <f>J134</f>
        <v>2</v>
      </c>
      <c r="AE155" s="66" t="str">
        <f>S136</f>
        <v>라이프리프터 코칭 이후 세종대학교 축제 참여. </v>
      </c>
      <c r="AF155" s="56">
        <f>AB134</f>
        <v>6.5</v>
      </c>
      <c r="AG155" s="56">
        <f>A163</f>
        <v>4</v>
      </c>
      <c r="AH155" s="56">
        <f>J163</f>
        <v>0</v>
      </c>
      <c r="AI155" s="56">
        <f>S163</f>
        <v>0</v>
      </c>
    </row>
    <row r="156">
      <c r="A156" s="42" t="s">
        <v>35</v>
      </c>
      <c r="B156" s="40" t="s">
        <v>36</v>
      </c>
      <c r="C156" s="26">
        <v>1.0</v>
      </c>
      <c r="D156" s="26">
        <v>1.0</v>
      </c>
      <c r="E156" s="26">
        <v>1.0</v>
      </c>
      <c r="F156" s="26">
        <v>1.0</v>
      </c>
      <c r="G156" s="26">
        <v>1.0</v>
      </c>
      <c r="H156" s="26">
        <v>1.0</v>
      </c>
      <c r="I156" s="5"/>
      <c r="J156" s="42" t="s">
        <v>35</v>
      </c>
      <c r="K156" s="40" t="s">
        <v>36</v>
      </c>
      <c r="L156" s="26">
        <v>1.0</v>
      </c>
      <c r="M156" s="26">
        <v>1.0</v>
      </c>
      <c r="N156" s="26">
        <v>1.0</v>
      </c>
      <c r="O156" s="26">
        <v>1.0</v>
      </c>
      <c r="P156" s="26">
        <v>1.0</v>
      </c>
      <c r="Q156" s="26">
        <v>1.0</v>
      </c>
      <c r="R156" s="5"/>
      <c r="S156" s="42" t="s">
        <v>35</v>
      </c>
      <c r="T156" s="40" t="s">
        <v>36</v>
      </c>
      <c r="U156" s="83"/>
      <c r="V156" s="83"/>
      <c r="W156" s="83"/>
      <c r="X156" s="83"/>
      <c r="Y156" s="83"/>
      <c r="Z156" s="83"/>
      <c r="AA156" s="5"/>
      <c r="AB156" s="67"/>
      <c r="AC156" s="58" t="s">
        <v>86</v>
      </c>
      <c r="AD156" s="59"/>
      <c r="AE156" s="60">
        <f>SUM(AC155:AI155)</f>
        <v>16.16666667</v>
      </c>
      <c r="AF156" s="61" t="s">
        <v>87</v>
      </c>
      <c r="AG156" s="62"/>
      <c r="AH156" s="56">
        <f>AVERAGE(AC155:AI155)</f>
        <v>2.694444444</v>
      </c>
      <c r="AI156" s="51"/>
    </row>
    <row r="157">
      <c r="A157" s="68"/>
      <c r="B157" s="34" t="s">
        <v>38</v>
      </c>
      <c r="C157" s="26">
        <v>1.0</v>
      </c>
      <c r="D157" s="26">
        <v>1.0</v>
      </c>
      <c r="E157" s="26">
        <v>1.0</v>
      </c>
      <c r="F157" s="26">
        <v>1.0</v>
      </c>
      <c r="G157" s="26">
        <v>1.0</v>
      </c>
      <c r="H157" s="26">
        <v>1.0</v>
      </c>
      <c r="I157" s="5"/>
      <c r="J157" s="68"/>
      <c r="K157" s="34" t="s">
        <v>38</v>
      </c>
      <c r="L157" s="26">
        <v>1.0</v>
      </c>
      <c r="M157" s="26">
        <v>1.0</v>
      </c>
      <c r="N157" s="26">
        <v>1.0</v>
      </c>
      <c r="O157" s="26">
        <v>1.0</v>
      </c>
      <c r="P157" s="26">
        <v>1.0</v>
      </c>
      <c r="Q157" s="26">
        <v>1.0</v>
      </c>
      <c r="R157" s="5"/>
      <c r="S157" s="68"/>
      <c r="T157" s="34" t="s">
        <v>38</v>
      </c>
      <c r="U157" s="83"/>
      <c r="V157" s="83"/>
      <c r="W157" s="83"/>
      <c r="X157" s="83"/>
      <c r="Y157" s="85"/>
      <c r="Z157" s="83"/>
      <c r="AA157" s="5"/>
      <c r="AB157" s="69" t="s">
        <v>93</v>
      </c>
      <c r="AC157" s="56">
        <f>A138</f>
        <v>2</v>
      </c>
      <c r="AD157" s="56">
        <f>J138</f>
        <v>5</v>
      </c>
      <c r="AE157" s="56">
        <f>S138</f>
        <v>7.666666667</v>
      </c>
      <c r="AF157" s="56">
        <f>AB138</f>
        <v>3.333333333</v>
      </c>
      <c r="AG157" s="56">
        <f>A167</f>
        <v>1.166666667</v>
      </c>
      <c r="AH157" s="56">
        <f>J167</f>
        <v>2.333333333</v>
      </c>
      <c r="AI157" s="56">
        <f>S167</f>
        <v>0</v>
      </c>
    </row>
    <row r="158">
      <c r="A158" s="39"/>
      <c r="B158" s="40" t="s">
        <v>42</v>
      </c>
      <c r="C158" s="26">
        <v>1.0</v>
      </c>
      <c r="D158" s="26">
        <v>1.0</v>
      </c>
      <c r="E158" s="26">
        <v>1.0</v>
      </c>
      <c r="F158" s="26">
        <v>1.0</v>
      </c>
      <c r="G158" s="26">
        <v>1.0</v>
      </c>
      <c r="H158" s="26">
        <v>1.0</v>
      </c>
      <c r="I158" s="5"/>
      <c r="J158" s="39"/>
      <c r="K158" s="40" t="s">
        <v>42</v>
      </c>
      <c r="L158" s="26">
        <v>1.0</v>
      </c>
      <c r="M158" s="26">
        <v>1.0</v>
      </c>
      <c r="N158" s="26">
        <v>1.0</v>
      </c>
      <c r="O158" s="26">
        <v>1.0</v>
      </c>
      <c r="P158" s="26">
        <v>1.0</v>
      </c>
      <c r="Q158" s="26">
        <v>1.0</v>
      </c>
      <c r="R158" s="5"/>
      <c r="S158" s="39"/>
      <c r="T158" s="40" t="s">
        <v>42</v>
      </c>
      <c r="U158" s="83"/>
      <c r="V158" s="83"/>
      <c r="W158" s="83"/>
      <c r="X158" s="83"/>
      <c r="Y158" s="83"/>
      <c r="Z158" s="83"/>
      <c r="AA158" s="5"/>
      <c r="AB158" s="71"/>
      <c r="AC158" s="58" t="s">
        <v>86</v>
      </c>
      <c r="AD158" s="59"/>
      <c r="AE158" s="60">
        <f>SUM(AC157:AI157)</f>
        <v>21.5</v>
      </c>
      <c r="AF158" s="61" t="s">
        <v>87</v>
      </c>
      <c r="AG158" s="62"/>
      <c r="AH158" s="56">
        <f>AVERAGE(AC157:AI157)</f>
        <v>3.071428571</v>
      </c>
      <c r="AI158" s="51"/>
    </row>
    <row r="159">
      <c r="A159" s="41">
        <f>COUNTIF(C152:H175,"=2")/6</f>
        <v>1.833333333</v>
      </c>
      <c r="B159" s="40" t="s">
        <v>43</v>
      </c>
      <c r="C159" s="26">
        <v>1.0</v>
      </c>
      <c r="D159" s="26">
        <v>1.0</v>
      </c>
      <c r="E159" s="26">
        <v>1.0</v>
      </c>
      <c r="F159" s="26">
        <v>1.0</v>
      </c>
      <c r="G159" s="26">
        <v>1.0</v>
      </c>
      <c r="H159" s="26">
        <v>1.0</v>
      </c>
      <c r="I159" s="5"/>
      <c r="J159" s="41">
        <f>COUNTIF(L152:Q175,"=2")/6</f>
        <v>2.333333333</v>
      </c>
      <c r="K159" s="40" t="s">
        <v>43</v>
      </c>
      <c r="L159" s="26">
        <v>1.0</v>
      </c>
      <c r="M159" s="26">
        <v>1.0</v>
      </c>
      <c r="N159" s="26">
        <v>1.0</v>
      </c>
      <c r="O159" s="26">
        <v>1.0</v>
      </c>
      <c r="P159" s="26">
        <v>1.0</v>
      </c>
      <c r="Q159" s="26">
        <v>1.0</v>
      </c>
      <c r="R159" s="5"/>
      <c r="S159" s="41">
        <f>COUNTIF(U152:Z175,"=2")/6</f>
        <v>0</v>
      </c>
      <c r="T159" s="40" t="s">
        <v>43</v>
      </c>
      <c r="U159" s="83"/>
      <c r="V159" s="83"/>
      <c r="W159" s="83"/>
      <c r="X159" s="83"/>
      <c r="Y159" s="83"/>
      <c r="Z159" s="83"/>
      <c r="AA159" s="5"/>
      <c r="AB159" s="47" t="s">
        <v>98</v>
      </c>
      <c r="AC159" s="56">
        <f>A142</f>
        <v>9.333333333</v>
      </c>
      <c r="AD159" s="56">
        <f>J142</f>
        <v>4</v>
      </c>
      <c r="AE159" s="56">
        <f>S142</f>
        <v>0.3333333333</v>
      </c>
      <c r="AF159" s="56">
        <f>AB142</f>
        <v>2.666666667</v>
      </c>
      <c r="AG159" s="56">
        <f>A171</f>
        <v>6</v>
      </c>
      <c r="AH159" s="56">
        <f>J171</f>
        <v>9</v>
      </c>
      <c r="AI159" s="56">
        <f>S171</f>
        <v>0</v>
      </c>
    </row>
    <row r="160">
      <c r="A160" s="44" t="s">
        <v>44</v>
      </c>
      <c r="B160" s="40" t="s">
        <v>45</v>
      </c>
      <c r="C160" s="26">
        <v>1.0</v>
      </c>
      <c r="D160" s="26">
        <v>1.0</v>
      </c>
      <c r="E160" s="26">
        <v>1.0</v>
      </c>
      <c r="F160" s="26">
        <v>1.0</v>
      </c>
      <c r="G160" s="26">
        <v>1.0</v>
      </c>
      <c r="H160" s="26">
        <v>1.0</v>
      </c>
      <c r="I160" s="5"/>
      <c r="J160" s="44" t="s">
        <v>44</v>
      </c>
      <c r="K160" s="40" t="s">
        <v>45</v>
      </c>
      <c r="L160" s="26">
        <v>1.0</v>
      </c>
      <c r="M160" s="26">
        <v>1.0</v>
      </c>
      <c r="N160" s="27">
        <v>2.0</v>
      </c>
      <c r="O160" s="119">
        <v>2.0</v>
      </c>
      <c r="P160" s="29">
        <v>4.0</v>
      </c>
      <c r="Q160" s="29">
        <v>4.0</v>
      </c>
      <c r="R160" s="5"/>
      <c r="S160" s="44" t="s">
        <v>44</v>
      </c>
      <c r="T160" s="40" t="s">
        <v>45</v>
      </c>
      <c r="U160" s="83"/>
      <c r="V160" s="83"/>
      <c r="W160" s="83"/>
      <c r="X160" s="83"/>
      <c r="Y160" s="83"/>
      <c r="Z160" s="83"/>
      <c r="AA160" s="5"/>
      <c r="AB160" s="80"/>
      <c r="AC160" s="58" t="s">
        <v>86</v>
      </c>
      <c r="AD160" s="59"/>
      <c r="AE160" s="60">
        <f>SUM(AC159:AI159)</f>
        <v>31.33333333</v>
      </c>
      <c r="AF160" s="61" t="s">
        <v>87</v>
      </c>
      <c r="AG160" s="62"/>
      <c r="AH160" s="56">
        <f>AVERAGE(AC159:AI159)</f>
        <v>4.476190476</v>
      </c>
      <c r="AI160" s="82"/>
    </row>
    <row r="161">
      <c r="A161" s="36" t="s">
        <v>209</v>
      </c>
      <c r="B161" s="34" t="s">
        <v>47</v>
      </c>
      <c r="C161" s="26">
        <v>1.0</v>
      </c>
      <c r="D161" s="26">
        <v>1.0</v>
      </c>
      <c r="E161" s="26">
        <v>1.0</v>
      </c>
      <c r="F161" s="26">
        <v>1.0</v>
      </c>
      <c r="G161" s="26">
        <v>1.0</v>
      </c>
      <c r="H161" s="26">
        <v>1.0</v>
      </c>
      <c r="I161" s="5"/>
      <c r="J161" s="38"/>
      <c r="K161" s="34" t="s">
        <v>47</v>
      </c>
      <c r="L161" s="29">
        <v>4.0</v>
      </c>
      <c r="M161" s="29">
        <v>4.0</v>
      </c>
      <c r="N161" s="29">
        <v>4.0</v>
      </c>
      <c r="O161" s="29">
        <v>4.0</v>
      </c>
      <c r="P161" s="29">
        <v>4.0</v>
      </c>
      <c r="Q161" s="29">
        <v>4.0</v>
      </c>
      <c r="R161" s="5"/>
      <c r="S161" s="38"/>
      <c r="T161" s="34" t="s">
        <v>47</v>
      </c>
      <c r="U161" s="83"/>
      <c r="V161" s="83"/>
      <c r="W161" s="83"/>
      <c r="X161" s="83"/>
      <c r="Y161" s="83"/>
      <c r="Z161" s="83"/>
      <c r="AA161" s="5"/>
      <c r="AB161" s="5"/>
      <c r="AC161" s="5"/>
      <c r="AD161" s="5"/>
      <c r="AE161" s="5"/>
      <c r="AF161" s="5"/>
      <c r="AG161" s="5"/>
      <c r="AH161" s="5"/>
      <c r="AI161" s="51"/>
    </row>
    <row r="162">
      <c r="A162" s="39"/>
      <c r="B162" s="40" t="s">
        <v>22</v>
      </c>
      <c r="C162" s="26">
        <v>1.0</v>
      </c>
      <c r="D162" s="26">
        <v>1.0</v>
      </c>
      <c r="E162" s="26">
        <v>1.0</v>
      </c>
      <c r="F162" s="26">
        <v>1.0</v>
      </c>
      <c r="G162" s="26">
        <v>1.0</v>
      </c>
      <c r="H162" s="26">
        <v>1.0</v>
      </c>
      <c r="I162" s="5"/>
      <c r="J162" s="39"/>
      <c r="K162" s="40" t="s">
        <v>22</v>
      </c>
      <c r="L162" s="27">
        <v>2.0</v>
      </c>
      <c r="M162" s="27">
        <v>2.0</v>
      </c>
      <c r="N162" s="27">
        <v>2.0</v>
      </c>
      <c r="O162" s="27">
        <v>2.0</v>
      </c>
      <c r="P162" s="27">
        <v>2.0</v>
      </c>
      <c r="Q162" s="27">
        <v>2.0</v>
      </c>
      <c r="R162" s="5"/>
      <c r="S162" s="39"/>
      <c r="T162" s="40" t="s">
        <v>22</v>
      </c>
      <c r="U162" s="83"/>
      <c r="V162" s="83"/>
      <c r="W162" s="83"/>
      <c r="X162" s="83"/>
      <c r="Y162" s="83"/>
      <c r="Z162" s="83"/>
      <c r="AA162" s="5"/>
      <c r="AB162" s="5"/>
      <c r="AC162" s="5"/>
      <c r="AD162" s="5"/>
      <c r="AE162" s="5"/>
      <c r="AF162" s="5"/>
      <c r="AG162" s="5"/>
      <c r="AH162" s="5"/>
      <c r="AI162" s="51"/>
    </row>
    <row r="163">
      <c r="A163" s="41">
        <f>COUNTIF(C152:H175,"=3")/6</f>
        <v>4</v>
      </c>
      <c r="B163" s="40" t="s">
        <v>50</v>
      </c>
      <c r="C163" s="26">
        <v>1.0</v>
      </c>
      <c r="D163" s="26">
        <v>1.0</v>
      </c>
      <c r="E163" s="26">
        <v>1.0</v>
      </c>
      <c r="F163" s="26">
        <v>1.0</v>
      </c>
      <c r="G163" s="26">
        <v>1.0</v>
      </c>
      <c r="H163" s="26">
        <v>1.0</v>
      </c>
      <c r="I163" s="5"/>
      <c r="J163" s="41">
        <f>COUNTIF(L152:Q175,"=3")/6</f>
        <v>0</v>
      </c>
      <c r="K163" s="40" t="s">
        <v>50</v>
      </c>
      <c r="L163" s="27">
        <v>2.0</v>
      </c>
      <c r="M163" s="27">
        <v>2.0</v>
      </c>
      <c r="N163" s="27">
        <v>2.0</v>
      </c>
      <c r="O163" s="27">
        <v>2.0</v>
      </c>
      <c r="P163" s="27">
        <v>2.0</v>
      </c>
      <c r="Q163" s="27">
        <v>2.0</v>
      </c>
      <c r="R163" s="5"/>
      <c r="S163" s="41">
        <f>COUNTIF(U152:Z175,"=3")/6</f>
        <v>0</v>
      </c>
      <c r="T163" s="40" t="s">
        <v>50</v>
      </c>
      <c r="U163" s="83"/>
      <c r="V163" s="83"/>
      <c r="W163" s="83"/>
      <c r="X163" s="83"/>
      <c r="Y163" s="83"/>
      <c r="Z163" s="83"/>
      <c r="AA163" s="5"/>
      <c r="AB163" s="5"/>
      <c r="AC163" s="5"/>
      <c r="AD163" s="5"/>
      <c r="AE163" s="5"/>
      <c r="AF163" s="5"/>
      <c r="AG163" s="5"/>
      <c r="AH163" s="5"/>
      <c r="AI163" s="51"/>
    </row>
    <row r="164">
      <c r="A164" s="45" t="s">
        <v>51</v>
      </c>
      <c r="B164" s="40" t="s">
        <v>52</v>
      </c>
      <c r="C164" s="26">
        <v>1.0</v>
      </c>
      <c r="D164" s="26">
        <v>1.0</v>
      </c>
      <c r="E164" s="26">
        <v>1.0</v>
      </c>
      <c r="F164" s="26">
        <v>1.0</v>
      </c>
      <c r="G164" s="26">
        <v>1.0</v>
      </c>
      <c r="H164" s="26">
        <v>1.0</v>
      </c>
      <c r="I164" s="5"/>
      <c r="J164" s="45" t="s">
        <v>51</v>
      </c>
      <c r="K164" s="40" t="s">
        <v>52</v>
      </c>
      <c r="L164" s="29">
        <v>4.0</v>
      </c>
      <c r="M164" s="29">
        <v>4.0</v>
      </c>
      <c r="N164" s="29">
        <v>4.0</v>
      </c>
      <c r="O164" s="29">
        <v>4.0</v>
      </c>
      <c r="P164" s="29">
        <v>4.0</v>
      </c>
      <c r="Q164" s="29">
        <v>4.0</v>
      </c>
      <c r="R164" s="5"/>
      <c r="S164" s="45" t="s">
        <v>51</v>
      </c>
      <c r="T164" s="40" t="s">
        <v>52</v>
      </c>
      <c r="U164" s="83"/>
      <c r="V164" s="83"/>
      <c r="W164" s="83"/>
      <c r="X164" s="83"/>
      <c r="Y164" s="83"/>
      <c r="Z164" s="83"/>
      <c r="AA164" s="5"/>
      <c r="AB164" s="5"/>
      <c r="AC164" s="5"/>
      <c r="AD164" s="5"/>
      <c r="AE164" s="5"/>
      <c r="AF164" s="5"/>
      <c r="AG164" s="5"/>
      <c r="AH164" s="5"/>
      <c r="AI164" s="51"/>
    </row>
    <row r="165">
      <c r="A165" s="38"/>
      <c r="B165" s="34" t="s">
        <v>54</v>
      </c>
      <c r="C165" s="27">
        <v>2.0</v>
      </c>
      <c r="D165" s="27">
        <v>2.0</v>
      </c>
      <c r="E165" s="27">
        <v>2.0</v>
      </c>
      <c r="F165" s="27">
        <v>2.0</v>
      </c>
      <c r="G165" s="27">
        <v>2.0</v>
      </c>
      <c r="H165" s="27">
        <v>2.0</v>
      </c>
      <c r="I165" s="5"/>
      <c r="J165" s="38"/>
      <c r="K165" s="34" t="s">
        <v>54</v>
      </c>
      <c r="L165" s="30">
        <v>5.0</v>
      </c>
      <c r="M165" s="30">
        <v>5.0</v>
      </c>
      <c r="N165" s="30">
        <v>5.0</v>
      </c>
      <c r="O165" s="30">
        <v>5.0</v>
      </c>
      <c r="P165" s="30">
        <v>5.0</v>
      </c>
      <c r="Q165" s="30">
        <v>5.0</v>
      </c>
      <c r="R165" s="5"/>
      <c r="S165" s="38"/>
      <c r="T165" s="34" t="s">
        <v>54</v>
      </c>
      <c r="U165" s="83"/>
      <c r="V165" s="83"/>
      <c r="W165" s="83"/>
      <c r="X165" s="83"/>
      <c r="Y165" s="83"/>
      <c r="Z165" s="83"/>
      <c r="AA165" s="5"/>
      <c r="AB165" s="5"/>
      <c r="AC165" s="5"/>
      <c r="AD165" s="5"/>
      <c r="AE165" s="5"/>
      <c r="AF165" s="5"/>
      <c r="AG165" s="5"/>
      <c r="AH165" s="5"/>
      <c r="AI165" s="51"/>
    </row>
    <row r="166">
      <c r="A166" s="46"/>
      <c r="B166" s="40" t="s">
        <v>58</v>
      </c>
      <c r="C166" s="28">
        <v>3.0</v>
      </c>
      <c r="D166" s="28">
        <v>3.0</v>
      </c>
      <c r="E166" s="28">
        <v>3.0</v>
      </c>
      <c r="F166" s="28">
        <v>3.0</v>
      </c>
      <c r="G166" s="28">
        <v>3.0</v>
      </c>
      <c r="H166" s="28">
        <v>3.0</v>
      </c>
      <c r="I166" s="5"/>
      <c r="J166" s="46"/>
      <c r="K166" s="40" t="s">
        <v>58</v>
      </c>
      <c r="L166" s="30">
        <v>5.0</v>
      </c>
      <c r="M166" s="30">
        <v>5.0</v>
      </c>
      <c r="N166" s="30">
        <v>5.0</v>
      </c>
      <c r="O166" s="30">
        <v>5.0</v>
      </c>
      <c r="P166" s="30">
        <v>5.0</v>
      </c>
      <c r="Q166" s="30">
        <v>5.0</v>
      </c>
      <c r="R166" s="5"/>
      <c r="S166" s="46"/>
      <c r="T166" s="40" t="s">
        <v>58</v>
      </c>
      <c r="U166" s="83"/>
      <c r="V166" s="83"/>
      <c r="W166" s="83"/>
      <c r="X166" s="83"/>
      <c r="Y166" s="83"/>
      <c r="Z166" s="83"/>
      <c r="AA166" s="5"/>
      <c r="AB166" s="5"/>
      <c r="AC166" s="5"/>
      <c r="AD166" s="5"/>
      <c r="AE166" s="5"/>
      <c r="AF166" s="5"/>
      <c r="AG166" s="5"/>
      <c r="AH166" s="5"/>
      <c r="AI166" s="51"/>
    </row>
    <row r="167">
      <c r="A167" s="41">
        <f>COUNTIF(C152:H175,"=4")/6</f>
        <v>1.166666667</v>
      </c>
      <c r="B167" s="40" t="s">
        <v>59</v>
      </c>
      <c r="C167" s="28">
        <v>3.0</v>
      </c>
      <c r="D167" s="28">
        <v>3.0</v>
      </c>
      <c r="E167" s="28">
        <v>3.0</v>
      </c>
      <c r="F167" s="28">
        <v>3.0</v>
      </c>
      <c r="G167" s="28">
        <v>3.0</v>
      </c>
      <c r="H167" s="28">
        <v>3.0</v>
      </c>
      <c r="I167" s="5"/>
      <c r="J167" s="41">
        <f>COUNTIF(L152:Q175,"=4")/6</f>
        <v>2.333333333</v>
      </c>
      <c r="K167" s="40" t="s">
        <v>59</v>
      </c>
      <c r="L167" s="30">
        <v>5.0</v>
      </c>
      <c r="M167" s="30">
        <v>5.0</v>
      </c>
      <c r="N167" s="30">
        <v>5.0</v>
      </c>
      <c r="O167" s="30">
        <v>5.0</v>
      </c>
      <c r="P167" s="30">
        <v>5.0</v>
      </c>
      <c r="Q167" s="30">
        <v>5.0</v>
      </c>
      <c r="R167" s="5"/>
      <c r="S167" s="41">
        <f>COUNTIF(U152:Z175,"=4")/6</f>
        <v>0</v>
      </c>
      <c r="T167" s="40" t="s">
        <v>59</v>
      </c>
      <c r="U167" s="83"/>
      <c r="V167" s="83"/>
      <c r="W167" s="83"/>
      <c r="X167" s="83"/>
      <c r="Y167" s="83"/>
      <c r="Z167" s="83"/>
      <c r="AA167" s="5"/>
      <c r="AB167" s="5"/>
      <c r="AC167" s="5"/>
      <c r="AD167" s="5"/>
      <c r="AE167" s="5"/>
      <c r="AF167" s="5"/>
      <c r="AG167" s="5"/>
      <c r="AH167" s="5"/>
      <c r="AI167" s="51"/>
    </row>
    <row r="168">
      <c r="A168" s="47" t="s">
        <v>60</v>
      </c>
      <c r="B168" s="40" t="s">
        <v>61</v>
      </c>
      <c r="C168" s="30">
        <v>5.0</v>
      </c>
      <c r="D168" s="30">
        <v>5.0</v>
      </c>
      <c r="E168" s="30">
        <v>5.0</v>
      </c>
      <c r="F168" s="30">
        <v>5.0</v>
      </c>
      <c r="G168" s="30">
        <v>5.0</v>
      </c>
      <c r="H168" s="30">
        <v>5.0</v>
      </c>
      <c r="I168" s="5"/>
      <c r="J168" s="47" t="s">
        <v>60</v>
      </c>
      <c r="K168" s="40" t="s">
        <v>61</v>
      </c>
      <c r="L168" s="30">
        <v>5.0</v>
      </c>
      <c r="M168" s="30">
        <v>5.0</v>
      </c>
      <c r="N168" s="30">
        <v>5.0</v>
      </c>
      <c r="O168" s="30">
        <v>5.0</v>
      </c>
      <c r="P168" s="30">
        <v>5.0</v>
      </c>
      <c r="Q168" s="30">
        <v>5.0</v>
      </c>
      <c r="R168" s="5"/>
      <c r="S168" s="47" t="s">
        <v>60</v>
      </c>
      <c r="T168" s="40" t="s">
        <v>61</v>
      </c>
      <c r="U168" s="83"/>
      <c r="V168" s="83"/>
      <c r="W168" s="83"/>
      <c r="X168" s="83"/>
      <c r="Y168" s="83"/>
      <c r="Z168" s="83"/>
      <c r="AA168" s="5"/>
      <c r="AB168" s="5"/>
      <c r="AC168" s="5"/>
      <c r="AD168" s="5"/>
      <c r="AE168" s="5"/>
      <c r="AF168" s="5"/>
      <c r="AG168" s="5"/>
      <c r="AH168" s="5"/>
      <c r="AI168" s="51"/>
    </row>
    <row r="169">
      <c r="A169" s="38"/>
      <c r="B169" s="34" t="s">
        <v>63</v>
      </c>
      <c r="C169" s="30">
        <v>5.0</v>
      </c>
      <c r="D169" s="30">
        <v>5.0</v>
      </c>
      <c r="E169" s="30">
        <v>5.0</v>
      </c>
      <c r="F169" s="30">
        <v>5.0</v>
      </c>
      <c r="G169" s="30">
        <v>5.0</v>
      </c>
      <c r="H169" s="30">
        <v>5.0</v>
      </c>
      <c r="I169" s="5"/>
      <c r="J169" s="38"/>
      <c r="K169" s="34" t="s">
        <v>63</v>
      </c>
      <c r="L169" s="30">
        <v>5.0</v>
      </c>
      <c r="M169" s="30">
        <v>5.0</v>
      </c>
      <c r="N169" s="30">
        <v>5.0</v>
      </c>
      <c r="O169" s="30">
        <v>5.0</v>
      </c>
      <c r="P169" s="30">
        <v>5.0</v>
      </c>
      <c r="Q169" s="30">
        <v>5.0</v>
      </c>
      <c r="R169" s="5"/>
      <c r="S169" s="38"/>
      <c r="T169" s="34" t="s">
        <v>63</v>
      </c>
      <c r="U169" s="83"/>
      <c r="V169" s="83"/>
      <c r="W169" s="83"/>
      <c r="X169" s="83"/>
      <c r="Y169" s="83"/>
      <c r="Z169" s="83"/>
      <c r="AA169" s="5"/>
      <c r="AB169" s="5"/>
      <c r="AC169" s="5"/>
      <c r="AD169" s="5"/>
      <c r="AE169" s="5"/>
      <c r="AF169" s="5"/>
      <c r="AG169" s="5"/>
      <c r="AH169" s="5"/>
      <c r="AI169" s="51"/>
    </row>
    <row r="170">
      <c r="A170" s="46"/>
      <c r="B170" s="40" t="s">
        <v>67</v>
      </c>
      <c r="C170" s="30">
        <v>5.0</v>
      </c>
      <c r="D170" s="30">
        <v>5.0</v>
      </c>
      <c r="E170" s="30">
        <v>5.0</v>
      </c>
      <c r="F170" s="30">
        <v>5.0</v>
      </c>
      <c r="G170" s="30">
        <v>5.0</v>
      </c>
      <c r="H170" s="30">
        <v>5.0</v>
      </c>
      <c r="I170" s="5"/>
      <c r="J170" s="46"/>
      <c r="K170" s="40" t="s">
        <v>67</v>
      </c>
      <c r="L170" s="30">
        <v>5.0</v>
      </c>
      <c r="M170" s="30">
        <v>5.0</v>
      </c>
      <c r="N170" s="30">
        <v>5.0</v>
      </c>
      <c r="O170" s="30">
        <v>5.0</v>
      </c>
      <c r="P170" s="30">
        <v>5.0</v>
      </c>
      <c r="Q170" s="30">
        <v>5.0</v>
      </c>
      <c r="R170" s="5"/>
      <c r="S170" s="46"/>
      <c r="T170" s="40" t="s">
        <v>67</v>
      </c>
      <c r="U170" s="83"/>
      <c r="V170" s="83"/>
      <c r="W170" s="83"/>
      <c r="X170" s="83"/>
      <c r="Y170" s="83"/>
      <c r="Z170" s="83"/>
      <c r="AA170" s="5"/>
      <c r="AB170" s="5"/>
      <c r="AC170" s="5"/>
      <c r="AD170" s="5"/>
      <c r="AE170" s="5"/>
      <c r="AF170" s="5"/>
      <c r="AG170" s="5"/>
      <c r="AH170" s="5"/>
      <c r="AI170" s="51"/>
    </row>
    <row r="171">
      <c r="A171" s="41">
        <f>COUNTIF(C152:H175,"=5")/6</f>
        <v>6</v>
      </c>
      <c r="B171" s="40" t="s">
        <v>68</v>
      </c>
      <c r="C171" s="29">
        <v>4.0</v>
      </c>
      <c r="D171" s="29">
        <v>4.0</v>
      </c>
      <c r="E171" s="29">
        <v>4.0</v>
      </c>
      <c r="F171" s="29">
        <v>4.0</v>
      </c>
      <c r="G171" s="29">
        <v>4.0</v>
      </c>
      <c r="H171" s="29">
        <v>4.0</v>
      </c>
      <c r="I171" s="5"/>
      <c r="J171" s="41">
        <f>COUNTIF(L152:Q175,"=5")/6</f>
        <v>9</v>
      </c>
      <c r="K171" s="40" t="s">
        <v>68</v>
      </c>
      <c r="L171" s="30">
        <v>5.0</v>
      </c>
      <c r="M171" s="30">
        <v>5.0</v>
      </c>
      <c r="N171" s="30">
        <v>5.0</v>
      </c>
      <c r="O171" s="30">
        <v>5.0</v>
      </c>
      <c r="P171" s="30">
        <v>5.0</v>
      </c>
      <c r="Q171" s="30">
        <v>5.0</v>
      </c>
      <c r="R171" s="5"/>
      <c r="S171" s="41">
        <f>COUNTIF(U152:Z175,"=5")/6</f>
        <v>0</v>
      </c>
      <c r="T171" s="40" t="s">
        <v>68</v>
      </c>
      <c r="U171" s="83"/>
      <c r="V171" s="83"/>
      <c r="W171" s="83"/>
      <c r="X171" s="83"/>
      <c r="Y171" s="83"/>
      <c r="Z171" s="83"/>
      <c r="AA171" s="5"/>
      <c r="AB171" s="5"/>
      <c r="AC171" s="5"/>
      <c r="AD171" s="5"/>
      <c r="AE171" s="5"/>
      <c r="AF171" s="5"/>
      <c r="AG171" s="5"/>
      <c r="AH171" s="5"/>
      <c r="AI171" s="51"/>
    </row>
    <row r="172">
      <c r="A172" s="48" t="s">
        <v>69</v>
      </c>
      <c r="B172" s="40" t="s">
        <v>23</v>
      </c>
      <c r="C172" s="29">
        <v>4.0</v>
      </c>
      <c r="D172" s="30">
        <v>5.0</v>
      </c>
      <c r="E172" s="30">
        <v>5.0</v>
      </c>
      <c r="F172" s="30">
        <v>5.0</v>
      </c>
      <c r="G172" s="30">
        <v>5.0</v>
      </c>
      <c r="H172" s="30">
        <v>5.0</v>
      </c>
      <c r="I172" s="5"/>
      <c r="J172" s="48" t="s">
        <v>69</v>
      </c>
      <c r="K172" s="40" t="s">
        <v>23</v>
      </c>
      <c r="L172" s="30">
        <v>5.0</v>
      </c>
      <c r="M172" s="30">
        <v>5.0</v>
      </c>
      <c r="N172" s="30">
        <v>5.0</v>
      </c>
      <c r="O172" s="30">
        <v>5.0</v>
      </c>
      <c r="P172" s="30">
        <v>5.0</v>
      </c>
      <c r="Q172" s="30">
        <v>5.0</v>
      </c>
      <c r="R172" s="5"/>
      <c r="S172" s="48" t="s">
        <v>69</v>
      </c>
      <c r="T172" s="40" t="s">
        <v>23</v>
      </c>
      <c r="U172" s="83"/>
      <c r="V172" s="83"/>
      <c r="W172" s="83"/>
      <c r="X172" s="83"/>
      <c r="Y172" s="83"/>
      <c r="Z172" s="83"/>
      <c r="AA172" s="5"/>
      <c r="AB172" s="5"/>
      <c r="AC172" s="5"/>
      <c r="AD172" s="5"/>
      <c r="AE172" s="5"/>
      <c r="AF172" s="5"/>
      <c r="AG172" s="5"/>
      <c r="AH172" s="5"/>
      <c r="AI172" s="51"/>
    </row>
    <row r="173">
      <c r="A173" s="46"/>
      <c r="B173" s="34" t="s">
        <v>70</v>
      </c>
      <c r="C173" s="30">
        <v>5.0</v>
      </c>
      <c r="D173" s="30">
        <v>5.0</v>
      </c>
      <c r="E173" s="30">
        <v>5.0</v>
      </c>
      <c r="F173" s="30">
        <v>5.0</v>
      </c>
      <c r="G173" s="30">
        <v>5.0</v>
      </c>
      <c r="H173" s="30">
        <v>5.0</v>
      </c>
      <c r="I173" s="5"/>
      <c r="J173" s="46"/>
      <c r="K173" s="34" t="s">
        <v>70</v>
      </c>
      <c r="L173" s="30">
        <v>5.0</v>
      </c>
      <c r="M173" s="30">
        <v>5.0</v>
      </c>
      <c r="N173" s="30">
        <v>5.0</v>
      </c>
      <c r="O173" s="30">
        <v>5.0</v>
      </c>
      <c r="P173" s="30">
        <v>5.0</v>
      </c>
      <c r="Q173" s="30">
        <v>5.0</v>
      </c>
      <c r="R173" s="5"/>
      <c r="S173" s="46"/>
      <c r="T173" s="34" t="s">
        <v>70</v>
      </c>
      <c r="U173" s="83"/>
      <c r="V173" s="83"/>
      <c r="W173" s="83"/>
      <c r="X173" s="83"/>
      <c r="Y173" s="83"/>
      <c r="Z173" s="83"/>
      <c r="AA173" s="5"/>
      <c r="AB173" s="5"/>
      <c r="AC173" s="5"/>
      <c r="AD173" s="5"/>
      <c r="AE173" s="5"/>
      <c r="AF173" s="5"/>
      <c r="AG173" s="5"/>
      <c r="AH173" s="5"/>
      <c r="AI173" s="51"/>
    </row>
    <row r="174">
      <c r="A174" s="39"/>
      <c r="B174" s="34" t="s">
        <v>72</v>
      </c>
      <c r="C174" s="27">
        <v>2.0</v>
      </c>
      <c r="D174" s="27">
        <v>2.0</v>
      </c>
      <c r="E174" s="30">
        <v>5.0</v>
      </c>
      <c r="F174" s="30">
        <v>5.0</v>
      </c>
      <c r="G174" s="30">
        <v>5.0</v>
      </c>
      <c r="H174" s="30">
        <v>5.0</v>
      </c>
      <c r="I174" s="5"/>
      <c r="J174" s="39"/>
      <c r="K174" s="34" t="s">
        <v>72</v>
      </c>
      <c r="L174" s="83"/>
      <c r="M174" s="83"/>
      <c r="N174" s="83"/>
      <c r="O174" s="83"/>
      <c r="P174" s="83"/>
      <c r="Q174" s="83"/>
      <c r="R174" s="5"/>
      <c r="S174" s="39"/>
      <c r="T174" s="34" t="s">
        <v>72</v>
      </c>
      <c r="U174" s="83"/>
      <c r="V174" s="83"/>
      <c r="W174" s="83"/>
      <c r="X174" s="83"/>
      <c r="Y174" s="83"/>
      <c r="Z174" s="83"/>
      <c r="AA174" s="5"/>
      <c r="AB174" s="5"/>
      <c r="AC174" s="5"/>
      <c r="AD174" s="5"/>
      <c r="AE174" s="5"/>
      <c r="AF174" s="5"/>
      <c r="AG174" s="5"/>
      <c r="AH174" s="5"/>
      <c r="AI174" s="51"/>
    </row>
    <row r="175">
      <c r="A175" s="49"/>
      <c r="B175" s="34" t="s">
        <v>73</v>
      </c>
      <c r="C175" s="30">
        <v>5.0</v>
      </c>
      <c r="D175" s="30">
        <v>5.0</v>
      </c>
      <c r="E175" s="30">
        <v>5.0</v>
      </c>
      <c r="F175" s="27">
        <v>2.0</v>
      </c>
      <c r="G175" s="27">
        <v>2.0</v>
      </c>
      <c r="H175" s="27">
        <v>2.0</v>
      </c>
      <c r="I175" s="5"/>
      <c r="J175" s="49"/>
      <c r="K175" s="34" t="s">
        <v>73</v>
      </c>
      <c r="L175" s="83"/>
      <c r="M175" s="83"/>
      <c r="N175" s="83"/>
      <c r="O175" s="83"/>
      <c r="P175" s="83"/>
      <c r="Q175" s="83"/>
      <c r="R175" s="5"/>
      <c r="S175" s="49"/>
      <c r="T175" s="34" t="s">
        <v>73</v>
      </c>
      <c r="U175" s="83"/>
      <c r="V175" s="83"/>
      <c r="W175" s="83"/>
      <c r="X175" s="83"/>
      <c r="Y175" s="83"/>
      <c r="Z175" s="83"/>
      <c r="AA175" s="5"/>
      <c r="AB175" s="5"/>
      <c r="AC175" s="5"/>
      <c r="AD175" s="5"/>
      <c r="AE175" s="5"/>
      <c r="AF175" s="5"/>
      <c r="AG175" s="5"/>
      <c r="AH175" s="5"/>
      <c r="AI175" s="51"/>
    </row>
    <row r="176">
      <c r="A176" s="50">
        <f>SUM(A155,A159,A163,A167,A171)</f>
        <v>24</v>
      </c>
      <c r="B176" s="5"/>
      <c r="C176" s="5"/>
      <c r="D176" s="5"/>
      <c r="E176" s="5"/>
      <c r="F176" s="5"/>
      <c r="G176" s="5"/>
      <c r="H176" s="5"/>
      <c r="I176" s="5"/>
      <c r="J176" s="50">
        <f>SUM(J155,J159,J163,J167,J171)</f>
        <v>22</v>
      </c>
      <c r="K176" s="5"/>
      <c r="L176" s="5"/>
      <c r="M176" s="5"/>
      <c r="N176" s="5"/>
      <c r="O176" s="5"/>
      <c r="P176" s="5"/>
      <c r="Q176" s="5"/>
      <c r="R176" s="5"/>
      <c r="S176" s="50">
        <f>SUM(S155,S159,S163,S167,S171)</f>
        <v>0</v>
      </c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1"/>
    </row>
    <row r="177">
      <c r="A177" s="86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2"/>
    </row>
    <row r="178">
      <c r="A178" s="90" t="s">
        <v>213</v>
      </c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59"/>
    </row>
    <row r="179">
      <c r="A179" s="53"/>
      <c r="B179" s="5"/>
      <c r="C179" s="5"/>
      <c r="D179" s="5"/>
      <c r="E179" s="5"/>
      <c r="F179" s="5"/>
      <c r="G179" s="5"/>
      <c r="H179" s="5"/>
      <c r="I179" s="5"/>
      <c r="J179" s="95"/>
      <c r="K179" s="5"/>
      <c r="L179" s="5"/>
      <c r="M179" s="5"/>
      <c r="N179" s="5"/>
      <c r="O179" s="5"/>
      <c r="P179" s="5"/>
      <c r="Q179" s="5"/>
      <c r="R179" s="5"/>
      <c r="S179" s="37"/>
      <c r="T179" s="5"/>
      <c r="U179" s="5"/>
      <c r="V179" s="5"/>
      <c r="W179" s="5"/>
      <c r="X179" s="5"/>
      <c r="Y179" s="5"/>
      <c r="Z179" s="5"/>
      <c r="AA179" s="5"/>
      <c r="AB179" s="37"/>
      <c r="AC179" s="5"/>
      <c r="AD179" s="5"/>
      <c r="AE179" s="5"/>
      <c r="AF179" s="5"/>
      <c r="AG179" s="5"/>
      <c r="AH179" s="5"/>
      <c r="AI179" s="51"/>
    </row>
    <row r="180">
      <c r="A180" s="54" t="s">
        <v>99</v>
      </c>
      <c r="B180" s="24" t="s">
        <v>16</v>
      </c>
      <c r="C180" s="25"/>
      <c r="D180" s="26">
        <v>1.0</v>
      </c>
      <c r="E180" s="27">
        <v>2.0</v>
      </c>
      <c r="F180" s="28">
        <v>3.0</v>
      </c>
      <c r="G180" s="29">
        <v>4.0</v>
      </c>
      <c r="H180" s="30">
        <v>5.0</v>
      </c>
      <c r="I180" s="5"/>
      <c r="J180" s="54" t="s">
        <v>102</v>
      </c>
      <c r="K180" s="24" t="s">
        <v>16</v>
      </c>
      <c r="L180" s="25"/>
      <c r="M180" s="76">
        <v>1.0</v>
      </c>
      <c r="N180" s="27">
        <v>2.0</v>
      </c>
      <c r="O180" s="28">
        <v>3.0</v>
      </c>
      <c r="P180" s="29">
        <v>4.0</v>
      </c>
      <c r="Q180" s="30">
        <v>5.0</v>
      </c>
      <c r="R180" s="5"/>
      <c r="S180" s="54" t="s">
        <v>103</v>
      </c>
      <c r="T180" s="24" t="s">
        <v>16</v>
      </c>
      <c r="U180" s="25"/>
      <c r="V180" s="76">
        <v>1.0</v>
      </c>
      <c r="W180" s="27">
        <v>2.0</v>
      </c>
      <c r="X180" s="28">
        <v>3.0</v>
      </c>
      <c r="Y180" s="29">
        <v>4.0</v>
      </c>
      <c r="Z180" s="30">
        <v>5.0</v>
      </c>
      <c r="AA180" s="5"/>
      <c r="AB180" s="54" t="s">
        <v>104</v>
      </c>
      <c r="AC180" s="24" t="s">
        <v>16</v>
      </c>
      <c r="AD180" s="25"/>
      <c r="AE180" s="76">
        <v>1.0</v>
      </c>
      <c r="AF180" s="27">
        <v>2.0</v>
      </c>
      <c r="AG180" s="28">
        <v>3.0</v>
      </c>
      <c r="AH180" s="29">
        <v>4.0</v>
      </c>
      <c r="AI180" s="30">
        <v>5.0</v>
      </c>
    </row>
    <row r="181">
      <c r="A181" s="31" t="s">
        <v>20</v>
      </c>
      <c r="B181" s="32" t="s">
        <v>21</v>
      </c>
      <c r="C181" s="32" t="s">
        <v>22</v>
      </c>
      <c r="D181" s="32" t="s">
        <v>23</v>
      </c>
      <c r="E181" s="32" t="s">
        <v>24</v>
      </c>
      <c r="F181" s="32" t="s">
        <v>25</v>
      </c>
      <c r="G181" s="32" t="s">
        <v>26</v>
      </c>
      <c r="H181" s="32" t="s">
        <v>27</v>
      </c>
      <c r="I181" s="5"/>
      <c r="J181" s="31" t="s">
        <v>20</v>
      </c>
      <c r="K181" s="32" t="s">
        <v>21</v>
      </c>
      <c r="L181" s="32" t="s">
        <v>22</v>
      </c>
      <c r="M181" s="32" t="s">
        <v>23</v>
      </c>
      <c r="N181" s="32" t="s">
        <v>24</v>
      </c>
      <c r="O181" s="32" t="s">
        <v>25</v>
      </c>
      <c r="P181" s="32" t="s">
        <v>26</v>
      </c>
      <c r="Q181" s="32" t="s">
        <v>27</v>
      </c>
      <c r="R181" s="5"/>
      <c r="S181" s="31" t="s">
        <v>20</v>
      </c>
      <c r="T181" s="32" t="s">
        <v>21</v>
      </c>
      <c r="U181" s="32" t="s">
        <v>22</v>
      </c>
      <c r="V181" s="32" t="s">
        <v>23</v>
      </c>
      <c r="W181" s="32" t="s">
        <v>24</v>
      </c>
      <c r="X181" s="32" t="s">
        <v>25</v>
      </c>
      <c r="Y181" s="32" t="s">
        <v>26</v>
      </c>
      <c r="Z181" s="32" t="s">
        <v>27</v>
      </c>
      <c r="AA181" s="5"/>
      <c r="AB181" s="31" t="s">
        <v>20</v>
      </c>
      <c r="AC181" s="32" t="s">
        <v>21</v>
      </c>
      <c r="AD181" s="32" t="s">
        <v>22</v>
      </c>
      <c r="AE181" s="32" t="s">
        <v>23</v>
      </c>
      <c r="AF181" s="32" t="s">
        <v>24</v>
      </c>
      <c r="AG181" s="32" t="s">
        <v>25</v>
      </c>
      <c r="AH181" s="32" t="s">
        <v>26</v>
      </c>
      <c r="AI181" s="32" t="s">
        <v>27</v>
      </c>
    </row>
    <row r="182">
      <c r="A182" s="33" t="s">
        <v>28</v>
      </c>
      <c r="B182" s="34" t="s">
        <v>21</v>
      </c>
      <c r="C182" s="83"/>
      <c r="D182" s="83"/>
      <c r="E182" s="83"/>
      <c r="F182" s="83"/>
      <c r="G182" s="83"/>
      <c r="H182" s="83"/>
      <c r="I182" s="5"/>
      <c r="J182" s="33" t="s">
        <v>28</v>
      </c>
      <c r="K182" s="34" t="s">
        <v>21</v>
      </c>
      <c r="L182" s="83"/>
      <c r="M182" s="83"/>
      <c r="N182" s="83"/>
      <c r="O182" s="83"/>
      <c r="P182" s="83"/>
      <c r="Q182" s="83"/>
      <c r="R182" s="5"/>
      <c r="S182" s="35" t="s">
        <v>28</v>
      </c>
      <c r="T182" s="34" t="s">
        <v>21</v>
      </c>
      <c r="U182" s="83"/>
      <c r="V182" s="83"/>
      <c r="W182" s="83"/>
      <c r="X182" s="83"/>
      <c r="Y182" s="83"/>
      <c r="Z182" s="83"/>
      <c r="AA182" s="5"/>
      <c r="AB182" s="35" t="s">
        <v>28</v>
      </c>
      <c r="AC182" s="34" t="s">
        <v>21</v>
      </c>
      <c r="AD182" s="83"/>
      <c r="AE182" s="83"/>
      <c r="AF182" s="83"/>
      <c r="AG182" s="83"/>
      <c r="AH182" s="83"/>
      <c r="AI182" s="83"/>
    </row>
    <row r="183">
      <c r="A183" s="38"/>
      <c r="B183" s="34" t="s">
        <v>30</v>
      </c>
      <c r="C183" s="83"/>
      <c r="D183" s="83"/>
      <c r="E183" s="83"/>
      <c r="F183" s="83"/>
      <c r="G183" s="83"/>
      <c r="H183" s="83"/>
      <c r="I183" s="37" t="s">
        <v>31</v>
      </c>
      <c r="J183" s="38"/>
      <c r="K183" s="34" t="s">
        <v>30</v>
      </c>
      <c r="L183" s="83"/>
      <c r="M183" s="83"/>
      <c r="N183" s="83"/>
      <c r="O183" s="83"/>
      <c r="P183" s="83"/>
      <c r="Q183" s="83"/>
      <c r="R183" s="5"/>
      <c r="S183" s="38"/>
      <c r="T183" s="34" t="s">
        <v>30</v>
      </c>
      <c r="U183" s="83"/>
      <c r="V183" s="83"/>
      <c r="W183" s="83"/>
      <c r="X183" s="83"/>
      <c r="Y183" s="83"/>
      <c r="Z183" s="83"/>
      <c r="AA183" s="5"/>
      <c r="AB183" s="38"/>
      <c r="AC183" s="34" t="s">
        <v>30</v>
      </c>
      <c r="AD183" s="83"/>
      <c r="AE183" s="83"/>
      <c r="AF183" s="83"/>
      <c r="AG183" s="83"/>
      <c r="AH183" s="83"/>
      <c r="AI183" s="83"/>
    </row>
    <row r="184">
      <c r="A184" s="39"/>
      <c r="B184" s="40" t="s">
        <v>33</v>
      </c>
      <c r="C184" s="83"/>
      <c r="D184" s="83"/>
      <c r="E184" s="83"/>
      <c r="F184" s="83"/>
      <c r="G184" s="83"/>
      <c r="H184" s="83"/>
      <c r="I184" s="5"/>
      <c r="J184" s="39"/>
      <c r="K184" s="40" t="s">
        <v>33</v>
      </c>
      <c r="L184" s="83"/>
      <c r="M184" s="83"/>
      <c r="N184" s="83"/>
      <c r="O184" s="83"/>
      <c r="P184" s="83"/>
      <c r="Q184" s="83"/>
      <c r="R184" s="5"/>
      <c r="S184" s="39"/>
      <c r="T184" s="40" t="s">
        <v>33</v>
      </c>
      <c r="U184" s="83"/>
      <c r="V184" s="83"/>
      <c r="W184" s="83"/>
      <c r="X184" s="83"/>
      <c r="Y184" s="83"/>
      <c r="Z184" s="83"/>
      <c r="AA184" s="5"/>
      <c r="AB184" s="39"/>
      <c r="AC184" s="40" t="s">
        <v>33</v>
      </c>
      <c r="AD184" s="83"/>
      <c r="AE184" s="83"/>
      <c r="AF184" s="83"/>
      <c r="AG184" s="83"/>
      <c r="AH184" s="83"/>
      <c r="AI184" s="83"/>
    </row>
    <row r="185">
      <c r="A185" s="41">
        <f>COUNTIF(C182:H205,"=1")/6</f>
        <v>0</v>
      </c>
      <c r="B185" s="40" t="s">
        <v>34</v>
      </c>
      <c r="C185" s="83"/>
      <c r="D185" s="83"/>
      <c r="E185" s="83"/>
      <c r="F185" s="83"/>
      <c r="G185" s="83"/>
      <c r="H185" s="83"/>
      <c r="I185" s="5"/>
      <c r="J185" s="41">
        <f>COUNTIF(L182:Q205,"=1")/6</f>
        <v>0</v>
      </c>
      <c r="K185" s="40" t="s">
        <v>34</v>
      </c>
      <c r="L185" s="83"/>
      <c r="M185" s="83"/>
      <c r="N185" s="83"/>
      <c r="O185" s="83"/>
      <c r="P185" s="83"/>
      <c r="Q185" s="83"/>
      <c r="R185" s="5"/>
      <c r="S185" s="41">
        <f>COUNTIF(U182:Z205,"=1")/6</f>
        <v>0</v>
      </c>
      <c r="T185" s="40" t="s">
        <v>34</v>
      </c>
      <c r="U185" s="83"/>
      <c r="V185" s="83"/>
      <c r="W185" s="83"/>
      <c r="X185" s="83"/>
      <c r="Y185" s="83"/>
      <c r="Z185" s="83"/>
      <c r="AA185" s="5"/>
      <c r="AB185" s="41">
        <f>COUNTIF(AD182:AI205,"=1")/6</f>
        <v>0</v>
      </c>
      <c r="AC185" s="40" t="s">
        <v>34</v>
      </c>
      <c r="AD185" s="83"/>
      <c r="AE185" s="83"/>
      <c r="AF185" s="83"/>
      <c r="AG185" s="83"/>
      <c r="AH185" s="83"/>
      <c r="AI185" s="83"/>
    </row>
    <row r="186">
      <c r="A186" s="42" t="s">
        <v>35</v>
      </c>
      <c r="B186" s="40" t="s">
        <v>36</v>
      </c>
      <c r="C186" s="83"/>
      <c r="D186" s="83"/>
      <c r="E186" s="83"/>
      <c r="F186" s="83"/>
      <c r="G186" s="83"/>
      <c r="H186" s="83"/>
      <c r="I186" s="5"/>
      <c r="J186" s="42" t="s">
        <v>35</v>
      </c>
      <c r="K186" s="40" t="s">
        <v>36</v>
      </c>
      <c r="L186" s="83"/>
      <c r="M186" s="83"/>
      <c r="N186" s="83"/>
      <c r="O186" s="83"/>
      <c r="P186" s="83"/>
      <c r="Q186" s="83"/>
      <c r="R186" s="5"/>
      <c r="S186" s="42" t="s">
        <v>35</v>
      </c>
      <c r="T186" s="40" t="s">
        <v>36</v>
      </c>
      <c r="U186" s="83"/>
      <c r="V186" s="83"/>
      <c r="W186" s="83"/>
      <c r="X186" s="83"/>
      <c r="Y186" s="83"/>
      <c r="Z186" s="83"/>
      <c r="AA186" s="5"/>
      <c r="AB186" s="42" t="s">
        <v>35</v>
      </c>
      <c r="AC186" s="40" t="s">
        <v>36</v>
      </c>
      <c r="AD186" s="83"/>
      <c r="AE186" s="83"/>
      <c r="AF186" s="83"/>
      <c r="AG186" s="83"/>
      <c r="AH186" s="83"/>
      <c r="AI186" s="83"/>
    </row>
    <row r="187">
      <c r="A187" s="68"/>
      <c r="B187" s="34" t="s">
        <v>38</v>
      </c>
      <c r="C187" s="83"/>
      <c r="D187" s="83"/>
      <c r="E187" s="83"/>
      <c r="F187" s="83"/>
      <c r="G187" s="85"/>
      <c r="H187" s="83"/>
      <c r="I187" s="5"/>
      <c r="J187" s="68"/>
      <c r="K187" s="34" t="s">
        <v>38</v>
      </c>
      <c r="L187" s="83"/>
      <c r="M187" s="83"/>
      <c r="N187" s="83"/>
      <c r="O187" s="83"/>
      <c r="P187" s="85"/>
      <c r="Q187" s="83"/>
      <c r="R187" s="5"/>
      <c r="S187" s="68"/>
      <c r="T187" s="34" t="s">
        <v>38</v>
      </c>
      <c r="U187" s="83"/>
      <c r="V187" s="83"/>
      <c r="W187" s="83"/>
      <c r="X187" s="83"/>
      <c r="Y187" s="85"/>
      <c r="Z187" s="83"/>
      <c r="AA187" s="5"/>
      <c r="AB187" s="68"/>
      <c r="AC187" s="34" t="s">
        <v>38</v>
      </c>
      <c r="AD187" s="83"/>
      <c r="AE187" s="83"/>
      <c r="AF187" s="83"/>
      <c r="AG187" s="83"/>
      <c r="AH187" s="85"/>
      <c r="AI187" s="83"/>
    </row>
    <row r="188">
      <c r="A188" s="39"/>
      <c r="B188" s="40" t="s">
        <v>42</v>
      </c>
      <c r="C188" s="83"/>
      <c r="D188" s="83"/>
      <c r="E188" s="83"/>
      <c r="F188" s="83"/>
      <c r="G188" s="83"/>
      <c r="H188" s="83"/>
      <c r="I188" s="5"/>
      <c r="J188" s="39"/>
      <c r="K188" s="40" t="s">
        <v>42</v>
      </c>
      <c r="L188" s="83"/>
      <c r="M188" s="83"/>
      <c r="N188" s="83"/>
      <c r="O188" s="83"/>
      <c r="P188" s="83"/>
      <c r="Q188" s="83"/>
      <c r="R188" s="5"/>
      <c r="S188" s="39"/>
      <c r="T188" s="40" t="s">
        <v>42</v>
      </c>
      <c r="U188" s="83"/>
      <c r="V188" s="83"/>
      <c r="W188" s="83"/>
      <c r="X188" s="83"/>
      <c r="Y188" s="83"/>
      <c r="Z188" s="83"/>
      <c r="AA188" s="5"/>
      <c r="AB188" s="39"/>
      <c r="AC188" s="40" t="s">
        <v>42</v>
      </c>
      <c r="AD188" s="83"/>
      <c r="AE188" s="83"/>
      <c r="AF188" s="83"/>
      <c r="AG188" s="83"/>
      <c r="AH188" s="83"/>
      <c r="AI188" s="83"/>
    </row>
    <row r="189">
      <c r="A189" s="41">
        <f>COUNTIF(C182:H205,"=2")/6</f>
        <v>0</v>
      </c>
      <c r="B189" s="40" t="s">
        <v>43</v>
      </c>
      <c r="C189" s="83"/>
      <c r="D189" s="83"/>
      <c r="E189" s="83"/>
      <c r="F189" s="83"/>
      <c r="G189" s="83"/>
      <c r="H189" s="83"/>
      <c r="I189" s="5"/>
      <c r="J189" s="41">
        <f>COUNTIF(L182:Q205,"=2")/6</f>
        <v>0</v>
      </c>
      <c r="K189" s="40" t="s">
        <v>43</v>
      </c>
      <c r="L189" s="83"/>
      <c r="M189" s="83"/>
      <c r="N189" s="83"/>
      <c r="O189" s="83"/>
      <c r="P189" s="83"/>
      <c r="Q189" s="83"/>
      <c r="R189" s="5"/>
      <c r="S189" s="41">
        <f>COUNTIF(U182:Z205,"=2")/6</f>
        <v>0</v>
      </c>
      <c r="T189" s="40" t="s">
        <v>43</v>
      </c>
      <c r="U189" s="83"/>
      <c r="V189" s="83"/>
      <c r="W189" s="83"/>
      <c r="X189" s="83"/>
      <c r="Y189" s="83"/>
      <c r="Z189" s="83"/>
      <c r="AA189" s="5"/>
      <c r="AB189" s="41">
        <f>COUNTIF(AD182:AI205,"=2")/6</f>
        <v>0</v>
      </c>
      <c r="AC189" s="40" t="s">
        <v>43</v>
      </c>
      <c r="AD189" s="83"/>
      <c r="AE189" s="83"/>
      <c r="AF189" s="83"/>
      <c r="AG189" s="83"/>
      <c r="AH189" s="83"/>
      <c r="AI189" s="83"/>
    </row>
    <row r="190">
      <c r="A190" s="44" t="s">
        <v>44</v>
      </c>
      <c r="B190" s="40" t="s">
        <v>45</v>
      </c>
      <c r="C190" s="83"/>
      <c r="D190" s="83"/>
      <c r="E190" s="83"/>
      <c r="F190" s="83"/>
      <c r="G190" s="83"/>
      <c r="H190" s="83"/>
      <c r="I190" s="5"/>
      <c r="J190" s="44" t="s">
        <v>44</v>
      </c>
      <c r="K190" s="40" t="s">
        <v>45</v>
      </c>
      <c r="L190" s="83"/>
      <c r="M190" s="83"/>
      <c r="N190" s="83"/>
      <c r="O190" s="83"/>
      <c r="P190" s="83"/>
      <c r="Q190" s="83"/>
      <c r="R190" s="5"/>
      <c r="S190" s="44" t="s">
        <v>44</v>
      </c>
      <c r="T190" s="40" t="s">
        <v>45</v>
      </c>
      <c r="U190" s="83"/>
      <c r="V190" s="83"/>
      <c r="W190" s="83"/>
      <c r="X190" s="83"/>
      <c r="Y190" s="83"/>
      <c r="Z190" s="83"/>
      <c r="AA190" s="5"/>
      <c r="AB190" s="44" t="s">
        <v>44</v>
      </c>
      <c r="AC190" s="40" t="s">
        <v>45</v>
      </c>
      <c r="AD190" s="83"/>
      <c r="AE190" s="83"/>
      <c r="AF190" s="83"/>
      <c r="AG190" s="83"/>
      <c r="AH190" s="83"/>
      <c r="AI190" s="83"/>
    </row>
    <row r="191">
      <c r="A191" s="38"/>
      <c r="B191" s="34" t="s">
        <v>47</v>
      </c>
      <c r="C191" s="83"/>
      <c r="D191" s="83"/>
      <c r="E191" s="83"/>
      <c r="F191" s="83"/>
      <c r="G191" s="83"/>
      <c r="H191" s="83"/>
      <c r="I191" s="5"/>
      <c r="J191" s="38"/>
      <c r="K191" s="34" t="s">
        <v>47</v>
      </c>
      <c r="L191" s="83"/>
      <c r="M191" s="83"/>
      <c r="N191" s="83"/>
      <c r="O191" s="83"/>
      <c r="P191" s="83"/>
      <c r="Q191" s="83"/>
      <c r="R191" s="5"/>
      <c r="S191" s="38"/>
      <c r="T191" s="34" t="s">
        <v>47</v>
      </c>
      <c r="U191" s="83"/>
      <c r="V191" s="83"/>
      <c r="W191" s="83"/>
      <c r="X191" s="83"/>
      <c r="Y191" s="83"/>
      <c r="Z191" s="83"/>
      <c r="AA191" s="5"/>
      <c r="AB191" s="38"/>
      <c r="AC191" s="34" t="s">
        <v>47</v>
      </c>
      <c r="AD191" s="83"/>
      <c r="AE191" s="83"/>
      <c r="AF191" s="83"/>
      <c r="AG191" s="83"/>
      <c r="AH191" s="83"/>
      <c r="AI191" s="83"/>
    </row>
    <row r="192">
      <c r="A192" s="39"/>
      <c r="B192" s="40" t="s">
        <v>22</v>
      </c>
      <c r="C192" s="83"/>
      <c r="D192" s="83"/>
      <c r="E192" s="83"/>
      <c r="F192" s="83"/>
      <c r="G192" s="83"/>
      <c r="H192" s="83"/>
      <c r="I192" s="5"/>
      <c r="J192" s="39"/>
      <c r="K192" s="40" t="s">
        <v>22</v>
      </c>
      <c r="L192" s="83"/>
      <c r="M192" s="83"/>
      <c r="N192" s="83"/>
      <c r="O192" s="83"/>
      <c r="P192" s="83"/>
      <c r="Q192" s="83"/>
      <c r="R192" s="5"/>
      <c r="S192" s="39"/>
      <c r="T192" s="40" t="s">
        <v>22</v>
      </c>
      <c r="U192" s="83"/>
      <c r="V192" s="83"/>
      <c r="W192" s="83"/>
      <c r="X192" s="83"/>
      <c r="Y192" s="83"/>
      <c r="Z192" s="83"/>
      <c r="AA192" s="5"/>
      <c r="AB192" s="39"/>
      <c r="AC192" s="40" t="s">
        <v>22</v>
      </c>
      <c r="AD192" s="83"/>
      <c r="AE192" s="83"/>
      <c r="AF192" s="83"/>
      <c r="AG192" s="83"/>
      <c r="AH192" s="83"/>
      <c r="AI192" s="83"/>
    </row>
    <row r="193">
      <c r="A193" s="41">
        <f>COUNTIF(C182:H205,"=3")/6</f>
        <v>0</v>
      </c>
      <c r="B193" s="40" t="s">
        <v>50</v>
      </c>
      <c r="C193" s="83"/>
      <c r="D193" s="83"/>
      <c r="E193" s="83"/>
      <c r="F193" s="83"/>
      <c r="G193" s="83"/>
      <c r="H193" s="83"/>
      <c r="I193" s="5"/>
      <c r="J193" s="41">
        <f>COUNTIF(L182:Q205,"=3")/6</f>
        <v>0</v>
      </c>
      <c r="K193" s="40" t="s">
        <v>50</v>
      </c>
      <c r="L193" s="83"/>
      <c r="M193" s="83"/>
      <c r="N193" s="83"/>
      <c r="O193" s="83"/>
      <c r="P193" s="83"/>
      <c r="Q193" s="83"/>
      <c r="R193" s="5"/>
      <c r="S193" s="41">
        <f>COUNTIF(U182:Z205,"=3")/6</f>
        <v>0</v>
      </c>
      <c r="T193" s="40" t="s">
        <v>50</v>
      </c>
      <c r="U193" s="83"/>
      <c r="V193" s="83"/>
      <c r="W193" s="83"/>
      <c r="X193" s="83"/>
      <c r="Y193" s="83"/>
      <c r="Z193" s="83"/>
      <c r="AA193" s="5"/>
      <c r="AB193" s="41">
        <f>COUNTIF(AD182:AI205,"=3")/6</f>
        <v>0</v>
      </c>
      <c r="AC193" s="40" t="s">
        <v>50</v>
      </c>
      <c r="AD193" s="83"/>
      <c r="AE193" s="83"/>
      <c r="AF193" s="83"/>
      <c r="AG193" s="83"/>
      <c r="AH193" s="83"/>
      <c r="AI193" s="83"/>
    </row>
    <row r="194">
      <c r="A194" s="45" t="s">
        <v>51</v>
      </c>
      <c r="B194" s="40" t="s">
        <v>52</v>
      </c>
      <c r="C194" s="83"/>
      <c r="D194" s="83"/>
      <c r="E194" s="83"/>
      <c r="F194" s="83"/>
      <c r="G194" s="83"/>
      <c r="H194" s="83"/>
      <c r="I194" s="5"/>
      <c r="J194" s="45" t="s">
        <v>51</v>
      </c>
      <c r="K194" s="40" t="s">
        <v>52</v>
      </c>
      <c r="L194" s="83"/>
      <c r="M194" s="83"/>
      <c r="N194" s="83"/>
      <c r="O194" s="83"/>
      <c r="P194" s="83"/>
      <c r="Q194" s="83"/>
      <c r="R194" s="5"/>
      <c r="S194" s="45" t="s">
        <v>51</v>
      </c>
      <c r="T194" s="40" t="s">
        <v>52</v>
      </c>
      <c r="U194" s="83"/>
      <c r="V194" s="83"/>
      <c r="W194" s="83"/>
      <c r="X194" s="83"/>
      <c r="Y194" s="83"/>
      <c r="Z194" s="83"/>
      <c r="AA194" s="5"/>
      <c r="AB194" s="45" t="s">
        <v>51</v>
      </c>
      <c r="AC194" s="40" t="s">
        <v>52</v>
      </c>
      <c r="AD194" s="83"/>
      <c r="AE194" s="83"/>
      <c r="AF194" s="83"/>
      <c r="AG194" s="83"/>
      <c r="AH194" s="83"/>
      <c r="AI194" s="83"/>
    </row>
    <row r="195">
      <c r="A195" s="38"/>
      <c r="B195" s="34" t="s">
        <v>54</v>
      </c>
      <c r="C195" s="83"/>
      <c r="D195" s="83"/>
      <c r="E195" s="83"/>
      <c r="F195" s="83"/>
      <c r="G195" s="83"/>
      <c r="H195" s="83"/>
      <c r="I195" s="5"/>
      <c r="J195" s="38"/>
      <c r="K195" s="34" t="s">
        <v>54</v>
      </c>
      <c r="L195" s="83"/>
      <c r="M195" s="83"/>
      <c r="N195" s="83"/>
      <c r="O195" s="83"/>
      <c r="P195" s="83"/>
      <c r="Q195" s="83"/>
      <c r="R195" s="5"/>
      <c r="S195" s="38"/>
      <c r="T195" s="34" t="s">
        <v>54</v>
      </c>
      <c r="U195" s="83"/>
      <c r="V195" s="83"/>
      <c r="W195" s="83"/>
      <c r="X195" s="83"/>
      <c r="Y195" s="83"/>
      <c r="Z195" s="83"/>
      <c r="AA195" s="5"/>
      <c r="AB195" s="38"/>
      <c r="AC195" s="34" t="s">
        <v>54</v>
      </c>
      <c r="AD195" s="83"/>
      <c r="AE195" s="83"/>
      <c r="AF195" s="83"/>
      <c r="AG195" s="83"/>
      <c r="AH195" s="83"/>
      <c r="AI195" s="83"/>
    </row>
    <row r="196">
      <c r="A196" s="46"/>
      <c r="B196" s="40" t="s">
        <v>58</v>
      </c>
      <c r="C196" s="83"/>
      <c r="D196" s="83"/>
      <c r="E196" s="83"/>
      <c r="F196" s="83"/>
      <c r="G196" s="83"/>
      <c r="H196" s="83"/>
      <c r="I196" s="5"/>
      <c r="J196" s="46"/>
      <c r="K196" s="40" t="s">
        <v>58</v>
      </c>
      <c r="L196" s="83"/>
      <c r="M196" s="83"/>
      <c r="N196" s="83"/>
      <c r="O196" s="83"/>
      <c r="P196" s="83"/>
      <c r="Q196" s="83"/>
      <c r="R196" s="5"/>
      <c r="S196" s="46"/>
      <c r="T196" s="40" t="s">
        <v>58</v>
      </c>
      <c r="U196" s="83"/>
      <c r="V196" s="83"/>
      <c r="W196" s="83"/>
      <c r="X196" s="83"/>
      <c r="Y196" s="83"/>
      <c r="Z196" s="83"/>
      <c r="AA196" s="5"/>
      <c r="AB196" s="46"/>
      <c r="AC196" s="40" t="s">
        <v>58</v>
      </c>
      <c r="AD196" s="83"/>
      <c r="AE196" s="83"/>
      <c r="AF196" s="83"/>
      <c r="AG196" s="83"/>
      <c r="AH196" s="83"/>
      <c r="AI196" s="83"/>
    </row>
    <row r="197">
      <c r="A197" s="41">
        <f>COUNTIF(C182:H205,"=4")/6</f>
        <v>0</v>
      </c>
      <c r="B197" s="40" t="s">
        <v>59</v>
      </c>
      <c r="C197" s="83"/>
      <c r="D197" s="83"/>
      <c r="E197" s="83"/>
      <c r="F197" s="83"/>
      <c r="G197" s="83"/>
      <c r="H197" s="83"/>
      <c r="I197" s="5"/>
      <c r="J197" s="41">
        <f>COUNTIF(L182:Q205,"=4")/6</f>
        <v>0</v>
      </c>
      <c r="K197" s="40" t="s">
        <v>59</v>
      </c>
      <c r="L197" s="83"/>
      <c r="M197" s="83"/>
      <c r="N197" s="83"/>
      <c r="O197" s="83"/>
      <c r="P197" s="83"/>
      <c r="Q197" s="83"/>
      <c r="R197" s="5"/>
      <c r="S197" s="41">
        <f>COUNTIF(U182:Z205,"=4")/6</f>
        <v>0</v>
      </c>
      <c r="T197" s="40" t="s">
        <v>59</v>
      </c>
      <c r="U197" s="83"/>
      <c r="V197" s="83"/>
      <c r="W197" s="83"/>
      <c r="X197" s="83"/>
      <c r="Y197" s="83"/>
      <c r="Z197" s="83"/>
      <c r="AA197" s="5"/>
      <c r="AB197" s="41">
        <f>COUNTIF(AD182:AI205,"=4")/6</f>
        <v>0</v>
      </c>
      <c r="AC197" s="40" t="s">
        <v>59</v>
      </c>
      <c r="AD197" s="83"/>
      <c r="AE197" s="83"/>
      <c r="AF197" s="83"/>
      <c r="AG197" s="83"/>
      <c r="AH197" s="83"/>
      <c r="AI197" s="83"/>
    </row>
    <row r="198">
      <c r="A198" s="47" t="s">
        <v>60</v>
      </c>
      <c r="B198" s="40" t="s">
        <v>61</v>
      </c>
      <c r="C198" s="83"/>
      <c r="D198" s="83"/>
      <c r="E198" s="83"/>
      <c r="F198" s="83"/>
      <c r="G198" s="83"/>
      <c r="H198" s="83"/>
      <c r="I198" s="5"/>
      <c r="J198" s="47" t="s">
        <v>60</v>
      </c>
      <c r="K198" s="40" t="s">
        <v>61</v>
      </c>
      <c r="L198" s="83"/>
      <c r="M198" s="83"/>
      <c r="N198" s="83"/>
      <c r="O198" s="83"/>
      <c r="P198" s="83"/>
      <c r="Q198" s="83"/>
      <c r="R198" s="5"/>
      <c r="S198" s="47" t="s">
        <v>60</v>
      </c>
      <c r="T198" s="40" t="s">
        <v>61</v>
      </c>
      <c r="U198" s="83"/>
      <c r="V198" s="83"/>
      <c r="W198" s="83"/>
      <c r="X198" s="83"/>
      <c r="Y198" s="83"/>
      <c r="Z198" s="83"/>
      <c r="AA198" s="5"/>
      <c r="AB198" s="47" t="s">
        <v>60</v>
      </c>
      <c r="AC198" s="40" t="s">
        <v>61</v>
      </c>
      <c r="AD198" s="83"/>
      <c r="AE198" s="83"/>
      <c r="AF198" s="83"/>
      <c r="AG198" s="83"/>
      <c r="AH198" s="83"/>
      <c r="AI198" s="83"/>
    </row>
    <row r="199">
      <c r="A199" s="38"/>
      <c r="B199" s="34" t="s">
        <v>63</v>
      </c>
      <c r="C199" s="83"/>
      <c r="D199" s="83"/>
      <c r="E199" s="83"/>
      <c r="F199" s="83"/>
      <c r="G199" s="83"/>
      <c r="H199" s="83"/>
      <c r="I199" s="5"/>
      <c r="J199" s="38"/>
      <c r="K199" s="34" t="s">
        <v>63</v>
      </c>
      <c r="L199" s="83"/>
      <c r="M199" s="83"/>
      <c r="N199" s="83"/>
      <c r="O199" s="83"/>
      <c r="P199" s="83"/>
      <c r="Q199" s="83"/>
      <c r="R199" s="5"/>
      <c r="S199" s="38"/>
      <c r="T199" s="34" t="s">
        <v>63</v>
      </c>
      <c r="U199" s="83"/>
      <c r="V199" s="83"/>
      <c r="W199" s="83"/>
      <c r="X199" s="83"/>
      <c r="Y199" s="83"/>
      <c r="Z199" s="83"/>
      <c r="AA199" s="5"/>
      <c r="AB199" s="38"/>
      <c r="AC199" s="34" t="s">
        <v>63</v>
      </c>
      <c r="AD199" s="83"/>
      <c r="AE199" s="83"/>
      <c r="AF199" s="83"/>
      <c r="AG199" s="83"/>
      <c r="AH199" s="83"/>
      <c r="AI199" s="83"/>
    </row>
    <row r="200">
      <c r="A200" s="46"/>
      <c r="B200" s="40" t="s">
        <v>67</v>
      </c>
      <c r="C200" s="83"/>
      <c r="D200" s="83"/>
      <c r="E200" s="83"/>
      <c r="F200" s="83"/>
      <c r="G200" s="83"/>
      <c r="H200" s="83"/>
      <c r="I200" s="5"/>
      <c r="J200" s="46"/>
      <c r="K200" s="40" t="s">
        <v>67</v>
      </c>
      <c r="L200" s="83"/>
      <c r="M200" s="83"/>
      <c r="N200" s="83"/>
      <c r="O200" s="83"/>
      <c r="P200" s="83"/>
      <c r="Q200" s="83"/>
      <c r="R200" s="5"/>
      <c r="S200" s="46"/>
      <c r="T200" s="40" t="s">
        <v>67</v>
      </c>
      <c r="U200" s="83"/>
      <c r="V200" s="83"/>
      <c r="W200" s="83"/>
      <c r="X200" s="83"/>
      <c r="Y200" s="83"/>
      <c r="Z200" s="83"/>
      <c r="AA200" s="5"/>
      <c r="AB200" s="46"/>
      <c r="AC200" s="40" t="s">
        <v>67</v>
      </c>
      <c r="AD200" s="83"/>
      <c r="AE200" s="83"/>
      <c r="AF200" s="83"/>
      <c r="AG200" s="83"/>
      <c r="AH200" s="83"/>
      <c r="AI200" s="83"/>
    </row>
    <row r="201">
      <c r="A201" s="41">
        <f>COUNTIF(C182:H205,"=5")/6</f>
        <v>0</v>
      </c>
      <c r="B201" s="40" t="s">
        <v>68</v>
      </c>
      <c r="C201" s="83"/>
      <c r="D201" s="83"/>
      <c r="E201" s="83"/>
      <c r="F201" s="83"/>
      <c r="G201" s="83"/>
      <c r="H201" s="83"/>
      <c r="I201" s="5"/>
      <c r="J201" s="41">
        <f>COUNTIF(L182:Q205,"=5")/6</f>
        <v>0</v>
      </c>
      <c r="K201" s="40" t="s">
        <v>68</v>
      </c>
      <c r="L201" s="83"/>
      <c r="M201" s="83"/>
      <c r="N201" s="83"/>
      <c r="O201" s="83"/>
      <c r="P201" s="83"/>
      <c r="Q201" s="83"/>
      <c r="R201" s="5"/>
      <c r="S201" s="41">
        <f>COUNTIF(U182:Z205,"=5")/6</f>
        <v>0</v>
      </c>
      <c r="T201" s="40" t="s">
        <v>68</v>
      </c>
      <c r="U201" s="83"/>
      <c r="V201" s="83"/>
      <c r="W201" s="83"/>
      <c r="X201" s="83"/>
      <c r="Y201" s="83"/>
      <c r="Z201" s="83"/>
      <c r="AA201" s="5"/>
      <c r="AB201" s="41">
        <f>COUNTIF(AD182:AI205,"=5")/6</f>
        <v>0</v>
      </c>
      <c r="AC201" s="40" t="s">
        <v>68</v>
      </c>
      <c r="AD201" s="83"/>
      <c r="AE201" s="83"/>
      <c r="AF201" s="83"/>
      <c r="AG201" s="83"/>
      <c r="AH201" s="83"/>
      <c r="AI201" s="83"/>
    </row>
    <row r="202">
      <c r="A202" s="48" t="s">
        <v>69</v>
      </c>
      <c r="B202" s="40" t="s">
        <v>23</v>
      </c>
      <c r="C202" s="83"/>
      <c r="D202" s="83"/>
      <c r="E202" s="83"/>
      <c r="F202" s="83"/>
      <c r="G202" s="83"/>
      <c r="H202" s="83"/>
      <c r="I202" s="5"/>
      <c r="J202" s="48" t="s">
        <v>69</v>
      </c>
      <c r="K202" s="40" t="s">
        <v>23</v>
      </c>
      <c r="L202" s="83"/>
      <c r="M202" s="83"/>
      <c r="N202" s="83"/>
      <c r="O202" s="83"/>
      <c r="P202" s="83"/>
      <c r="Q202" s="83"/>
      <c r="R202" s="5"/>
      <c r="S202" s="48" t="s">
        <v>69</v>
      </c>
      <c r="T202" s="40" t="s">
        <v>23</v>
      </c>
      <c r="U202" s="83"/>
      <c r="V202" s="83"/>
      <c r="W202" s="83"/>
      <c r="X202" s="83"/>
      <c r="Y202" s="83"/>
      <c r="Z202" s="83"/>
      <c r="AA202" s="5"/>
      <c r="AB202" s="48" t="s">
        <v>69</v>
      </c>
      <c r="AC202" s="40" t="s">
        <v>23</v>
      </c>
      <c r="AD202" s="83"/>
      <c r="AE202" s="83"/>
      <c r="AF202" s="83"/>
      <c r="AG202" s="83"/>
      <c r="AH202" s="83"/>
      <c r="AI202" s="83"/>
    </row>
    <row r="203">
      <c r="A203" s="46"/>
      <c r="B203" s="34" t="s">
        <v>70</v>
      </c>
      <c r="C203" s="83"/>
      <c r="D203" s="83"/>
      <c r="E203" s="83"/>
      <c r="F203" s="83"/>
      <c r="G203" s="83"/>
      <c r="H203" s="83"/>
      <c r="I203" s="5"/>
      <c r="J203" s="46"/>
      <c r="K203" s="34" t="s">
        <v>70</v>
      </c>
      <c r="L203" s="83"/>
      <c r="M203" s="83"/>
      <c r="N203" s="83"/>
      <c r="O203" s="83"/>
      <c r="P203" s="83"/>
      <c r="Q203" s="83"/>
      <c r="R203" s="5"/>
      <c r="S203" s="46"/>
      <c r="T203" s="34" t="s">
        <v>70</v>
      </c>
      <c r="U203" s="83"/>
      <c r="V203" s="83"/>
      <c r="W203" s="83"/>
      <c r="X203" s="83"/>
      <c r="Y203" s="83"/>
      <c r="Z203" s="83"/>
      <c r="AA203" s="5"/>
      <c r="AB203" s="46"/>
      <c r="AC203" s="34" t="s">
        <v>70</v>
      </c>
      <c r="AD203" s="83"/>
      <c r="AE203" s="83"/>
      <c r="AF203" s="83"/>
      <c r="AG203" s="83"/>
      <c r="AH203" s="83"/>
      <c r="AI203" s="83"/>
    </row>
    <row r="204">
      <c r="A204" s="39"/>
      <c r="B204" s="34" t="s">
        <v>72</v>
      </c>
      <c r="C204" s="83"/>
      <c r="D204" s="83"/>
      <c r="E204" s="83"/>
      <c r="F204" s="83"/>
      <c r="G204" s="83"/>
      <c r="H204" s="83"/>
      <c r="I204" s="5"/>
      <c r="J204" s="39"/>
      <c r="K204" s="34" t="s">
        <v>72</v>
      </c>
      <c r="L204" s="83"/>
      <c r="M204" s="83"/>
      <c r="N204" s="83"/>
      <c r="O204" s="83"/>
      <c r="P204" s="83"/>
      <c r="Q204" s="83"/>
      <c r="R204" s="5"/>
      <c r="S204" s="39"/>
      <c r="T204" s="34" t="s">
        <v>72</v>
      </c>
      <c r="U204" s="83"/>
      <c r="V204" s="83"/>
      <c r="W204" s="83"/>
      <c r="X204" s="83"/>
      <c r="Y204" s="83"/>
      <c r="Z204" s="83"/>
      <c r="AA204" s="5"/>
      <c r="AB204" s="39"/>
      <c r="AC204" s="34" t="s">
        <v>72</v>
      </c>
      <c r="AD204" s="83"/>
      <c r="AE204" s="83"/>
      <c r="AF204" s="83"/>
      <c r="AG204" s="83"/>
      <c r="AH204" s="83"/>
      <c r="AI204" s="83"/>
    </row>
    <row r="205">
      <c r="A205" s="49"/>
      <c r="B205" s="34" t="s">
        <v>73</v>
      </c>
      <c r="C205" s="83"/>
      <c r="D205" s="83"/>
      <c r="E205" s="83"/>
      <c r="F205" s="83"/>
      <c r="G205" s="83"/>
      <c r="H205" s="83"/>
      <c r="I205" s="5"/>
      <c r="J205" s="49"/>
      <c r="K205" s="34" t="s">
        <v>73</v>
      </c>
      <c r="L205" s="83"/>
      <c r="M205" s="83"/>
      <c r="N205" s="83"/>
      <c r="O205" s="83"/>
      <c r="P205" s="83"/>
      <c r="Q205" s="83"/>
      <c r="R205" s="5"/>
      <c r="S205" s="49"/>
      <c r="T205" s="34" t="s">
        <v>73</v>
      </c>
      <c r="U205" s="83"/>
      <c r="V205" s="83"/>
      <c r="W205" s="83"/>
      <c r="X205" s="83"/>
      <c r="Y205" s="83"/>
      <c r="Z205" s="83"/>
      <c r="AA205" s="5"/>
      <c r="AB205" s="49"/>
      <c r="AC205" s="34" t="s">
        <v>73</v>
      </c>
      <c r="AD205" s="83"/>
      <c r="AE205" s="83"/>
      <c r="AF205" s="83"/>
      <c r="AG205" s="83"/>
      <c r="AH205" s="83"/>
      <c r="AI205" s="83"/>
    </row>
    <row r="206">
      <c r="A206" s="50">
        <f>SUM(A185,A189,A193,A197,A201)</f>
        <v>0</v>
      </c>
      <c r="B206" s="5"/>
      <c r="C206" s="5"/>
      <c r="D206" s="5"/>
      <c r="E206" s="5"/>
      <c r="F206" s="5"/>
      <c r="G206" s="5"/>
      <c r="H206" s="5"/>
      <c r="I206" s="5"/>
      <c r="J206" s="50">
        <f>SUM(J185,J189,J193,J197,J201)</f>
        <v>0</v>
      </c>
      <c r="K206" s="5"/>
      <c r="L206" s="5"/>
      <c r="M206" s="5"/>
      <c r="N206" s="5"/>
      <c r="O206" s="5"/>
      <c r="P206" s="5"/>
      <c r="Q206" s="5"/>
      <c r="R206" s="5"/>
      <c r="S206" s="50">
        <f>SUM(S185,S189,S193,S197,S201)</f>
        <v>0</v>
      </c>
      <c r="T206" s="5"/>
      <c r="U206" s="5"/>
      <c r="V206" s="5"/>
      <c r="W206" s="5"/>
      <c r="X206" s="5"/>
      <c r="Y206" s="5"/>
      <c r="Z206" s="5"/>
      <c r="AA206" s="5"/>
      <c r="AB206" s="50">
        <f>SUM(AB185,AB189,AB193,AB197,AB201)</f>
        <v>0</v>
      </c>
      <c r="AC206" s="5"/>
      <c r="AD206" s="5"/>
      <c r="AE206" s="5"/>
      <c r="AF206" s="5"/>
      <c r="AG206" s="5"/>
      <c r="AH206" s="5"/>
      <c r="AI206" s="51"/>
    </row>
    <row r="207">
      <c r="A207" s="52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1"/>
    </row>
    <row r="208">
      <c r="A208" s="53"/>
      <c r="B208" s="5"/>
      <c r="C208" s="5"/>
      <c r="D208" s="5"/>
      <c r="E208" s="5"/>
      <c r="F208" s="5"/>
      <c r="G208" s="5"/>
      <c r="H208" s="5"/>
      <c r="I208" s="5"/>
      <c r="J208" s="37"/>
      <c r="K208" s="5"/>
      <c r="L208" s="5"/>
      <c r="M208" s="5"/>
      <c r="N208" s="5"/>
      <c r="O208" s="5"/>
      <c r="P208" s="5"/>
      <c r="Q208" s="5"/>
      <c r="R208" s="5"/>
      <c r="S208" s="37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1"/>
    </row>
    <row r="209">
      <c r="A209" s="54" t="s">
        <v>134</v>
      </c>
      <c r="B209" s="24" t="s">
        <v>16</v>
      </c>
      <c r="C209" s="25"/>
      <c r="D209" s="76">
        <v>1.0</v>
      </c>
      <c r="E209" s="27">
        <v>2.0</v>
      </c>
      <c r="F209" s="28">
        <v>3.0</v>
      </c>
      <c r="G209" s="29">
        <v>4.0</v>
      </c>
      <c r="H209" s="30">
        <v>5.0</v>
      </c>
      <c r="I209" s="5"/>
      <c r="J209" s="54" t="s">
        <v>135</v>
      </c>
      <c r="K209" s="24" t="s">
        <v>16</v>
      </c>
      <c r="L209" s="25"/>
      <c r="M209" s="76">
        <v>1.0</v>
      </c>
      <c r="N209" s="27">
        <v>2.0</v>
      </c>
      <c r="O209" s="28">
        <v>3.0</v>
      </c>
      <c r="P209" s="29">
        <v>4.0</v>
      </c>
      <c r="Q209" s="30">
        <v>5.0</v>
      </c>
      <c r="R209" s="5"/>
      <c r="S209" s="54" t="s">
        <v>136</v>
      </c>
      <c r="T209" s="24" t="s">
        <v>16</v>
      </c>
      <c r="U209" s="25"/>
      <c r="V209" s="76">
        <v>1.0</v>
      </c>
      <c r="W209" s="27">
        <v>2.0</v>
      </c>
      <c r="X209" s="28">
        <v>3.0</v>
      </c>
      <c r="Y209" s="29">
        <v>4.0</v>
      </c>
      <c r="Z209" s="30">
        <v>5.0</v>
      </c>
      <c r="AA209" s="5"/>
      <c r="AB209" s="54" t="s">
        <v>77</v>
      </c>
      <c r="AC209" s="55" t="s">
        <v>78</v>
      </c>
      <c r="AD209" s="55" t="s">
        <v>79</v>
      </c>
      <c r="AE209" s="55" t="s">
        <v>80</v>
      </c>
      <c r="AF209" s="55" t="s">
        <v>81</v>
      </c>
      <c r="AG209" s="55" t="s">
        <v>82</v>
      </c>
      <c r="AH209" s="55" t="s">
        <v>83</v>
      </c>
      <c r="AI209" s="55" t="s">
        <v>84</v>
      </c>
    </row>
    <row r="210">
      <c r="A210" s="31" t="s">
        <v>20</v>
      </c>
      <c r="B210" s="32" t="s">
        <v>21</v>
      </c>
      <c r="C210" s="32" t="s">
        <v>22</v>
      </c>
      <c r="D210" s="32" t="s">
        <v>23</v>
      </c>
      <c r="E210" s="32" t="s">
        <v>24</v>
      </c>
      <c r="F210" s="32" t="s">
        <v>25</v>
      </c>
      <c r="G210" s="32" t="s">
        <v>26</v>
      </c>
      <c r="H210" s="32" t="s">
        <v>27</v>
      </c>
      <c r="I210" s="5"/>
      <c r="J210" s="31" t="s">
        <v>20</v>
      </c>
      <c r="K210" s="32" t="s">
        <v>21</v>
      </c>
      <c r="L210" s="32" t="s">
        <v>22</v>
      </c>
      <c r="M210" s="32" t="s">
        <v>23</v>
      </c>
      <c r="N210" s="32" t="s">
        <v>24</v>
      </c>
      <c r="O210" s="32" t="s">
        <v>25</v>
      </c>
      <c r="P210" s="32" t="s">
        <v>26</v>
      </c>
      <c r="Q210" s="32" t="s">
        <v>27</v>
      </c>
      <c r="R210" s="5"/>
      <c r="S210" s="31" t="s">
        <v>20</v>
      </c>
      <c r="T210" s="32" t="s">
        <v>21</v>
      </c>
      <c r="U210" s="32" t="s">
        <v>22</v>
      </c>
      <c r="V210" s="32" t="s">
        <v>23</v>
      </c>
      <c r="W210" s="32" t="s">
        <v>24</v>
      </c>
      <c r="X210" s="32" t="s">
        <v>25</v>
      </c>
      <c r="Y210" s="32" t="s">
        <v>26</v>
      </c>
      <c r="Z210" s="32" t="s">
        <v>27</v>
      </c>
      <c r="AA210" s="5"/>
      <c r="AB210" s="33" t="s">
        <v>85</v>
      </c>
      <c r="AC210" s="56">
        <f>A185</f>
        <v>0</v>
      </c>
      <c r="AD210" s="56">
        <f>J185</f>
        <v>0</v>
      </c>
      <c r="AE210" s="56">
        <f>S185</f>
        <v>0</v>
      </c>
      <c r="AF210" s="56">
        <f>AB185</f>
        <v>0</v>
      </c>
      <c r="AG210" s="56">
        <f>A214</f>
        <v>0</v>
      </c>
      <c r="AH210" s="56">
        <f>J214</f>
        <v>0</v>
      </c>
      <c r="AI210" s="56">
        <f>S214</f>
        <v>0</v>
      </c>
    </row>
    <row r="211">
      <c r="A211" s="33" t="s">
        <v>28</v>
      </c>
      <c r="B211" s="34" t="s">
        <v>21</v>
      </c>
      <c r="C211" s="83"/>
      <c r="D211" s="83"/>
      <c r="E211" s="83"/>
      <c r="F211" s="83"/>
      <c r="G211" s="83"/>
      <c r="H211" s="83"/>
      <c r="I211" s="5"/>
      <c r="J211" s="33" t="s">
        <v>28</v>
      </c>
      <c r="K211" s="34" t="s">
        <v>21</v>
      </c>
      <c r="L211" s="83"/>
      <c r="M211" s="83"/>
      <c r="N211" s="83"/>
      <c r="O211" s="83"/>
      <c r="P211" s="83"/>
      <c r="Q211" s="83"/>
      <c r="R211" s="5"/>
      <c r="S211" s="35" t="s">
        <v>28</v>
      </c>
      <c r="T211" s="34" t="s">
        <v>21</v>
      </c>
      <c r="U211" s="83"/>
      <c r="V211" s="83"/>
      <c r="W211" s="83"/>
      <c r="X211" s="83"/>
      <c r="Y211" s="83"/>
      <c r="Z211" s="83"/>
      <c r="AA211" s="5"/>
      <c r="AB211" s="57"/>
      <c r="AC211" s="58" t="s">
        <v>86</v>
      </c>
      <c r="AD211" s="59"/>
      <c r="AE211" s="60">
        <f>SUM(AC210:AI210)</f>
        <v>0</v>
      </c>
      <c r="AF211" s="61" t="s">
        <v>87</v>
      </c>
      <c r="AG211" s="62"/>
      <c r="AH211" s="56">
        <f>AVERAGE(AC210:AI210)</f>
        <v>0</v>
      </c>
      <c r="AI211" s="51"/>
    </row>
    <row r="212">
      <c r="A212" s="38"/>
      <c r="B212" s="34" t="s">
        <v>30</v>
      </c>
      <c r="C212" s="83"/>
      <c r="D212" s="83"/>
      <c r="E212" s="83"/>
      <c r="F212" s="83"/>
      <c r="G212" s="83"/>
      <c r="H212" s="83"/>
      <c r="I212" s="37" t="s">
        <v>31</v>
      </c>
      <c r="J212" s="38"/>
      <c r="K212" s="34" t="s">
        <v>30</v>
      </c>
      <c r="L212" s="83"/>
      <c r="M212" s="83"/>
      <c r="N212" s="83"/>
      <c r="O212" s="83"/>
      <c r="P212" s="83"/>
      <c r="Q212" s="83"/>
      <c r="R212" s="5"/>
      <c r="S212" s="38"/>
      <c r="T212" s="34" t="s">
        <v>30</v>
      </c>
      <c r="U212" s="83"/>
      <c r="V212" s="83"/>
      <c r="W212" s="83"/>
      <c r="X212" s="83"/>
      <c r="Y212" s="83"/>
      <c r="Z212" s="83"/>
      <c r="AA212" s="5"/>
      <c r="AB212" s="63" t="s">
        <v>88</v>
      </c>
      <c r="AC212" s="56">
        <f>A189</f>
        <v>0</v>
      </c>
      <c r="AD212" s="56">
        <f>J189</f>
        <v>0</v>
      </c>
      <c r="AE212" s="56">
        <f>S189</f>
        <v>0</v>
      </c>
      <c r="AF212" s="56">
        <f>AB189</f>
        <v>0</v>
      </c>
      <c r="AG212" s="56">
        <f>A218</f>
        <v>0</v>
      </c>
      <c r="AH212" s="56">
        <f>J218</f>
        <v>0</v>
      </c>
      <c r="AI212" s="56">
        <f>S218</f>
        <v>0</v>
      </c>
    </row>
    <row r="213">
      <c r="A213" s="39"/>
      <c r="B213" s="40" t="s">
        <v>33</v>
      </c>
      <c r="C213" s="83"/>
      <c r="D213" s="83"/>
      <c r="E213" s="83"/>
      <c r="F213" s="83"/>
      <c r="G213" s="83"/>
      <c r="H213" s="83"/>
      <c r="I213" s="5"/>
      <c r="J213" s="39"/>
      <c r="K213" s="40" t="s">
        <v>33</v>
      </c>
      <c r="L213" s="83"/>
      <c r="M213" s="83"/>
      <c r="N213" s="83"/>
      <c r="O213" s="83"/>
      <c r="P213" s="83"/>
      <c r="Q213" s="83"/>
      <c r="R213" s="5"/>
      <c r="S213" s="39"/>
      <c r="T213" s="40" t="s">
        <v>33</v>
      </c>
      <c r="U213" s="83"/>
      <c r="V213" s="83"/>
      <c r="W213" s="83"/>
      <c r="X213" s="83"/>
      <c r="Y213" s="83"/>
      <c r="Z213" s="83"/>
      <c r="AA213" s="5"/>
      <c r="AB213" s="64"/>
      <c r="AC213" s="58" t="s">
        <v>86</v>
      </c>
      <c r="AD213" s="59"/>
      <c r="AE213" s="60">
        <f>SUM(AC212:AI212)</f>
        <v>0</v>
      </c>
      <c r="AF213" s="61" t="s">
        <v>87</v>
      </c>
      <c r="AG213" s="62"/>
      <c r="AH213" s="56">
        <f>AVERAGE(AC212:AI212)</f>
        <v>0</v>
      </c>
      <c r="AI213" s="51"/>
    </row>
    <row r="214">
      <c r="A214" s="41">
        <f>COUNTIF(C211:H234,"=1")/6</f>
        <v>0</v>
      </c>
      <c r="B214" s="40" t="s">
        <v>34</v>
      </c>
      <c r="C214" s="83"/>
      <c r="D214" s="83"/>
      <c r="E214" s="83"/>
      <c r="F214" s="83"/>
      <c r="G214" s="83"/>
      <c r="H214" s="83"/>
      <c r="I214" s="5"/>
      <c r="J214" s="41">
        <f>COUNTIF(L211:Q234,"=1")/6</f>
        <v>0</v>
      </c>
      <c r="K214" s="40" t="s">
        <v>34</v>
      </c>
      <c r="L214" s="83"/>
      <c r="M214" s="83"/>
      <c r="N214" s="83"/>
      <c r="O214" s="83"/>
      <c r="P214" s="83"/>
      <c r="Q214" s="83"/>
      <c r="R214" s="5"/>
      <c r="S214" s="41">
        <f>COUNTIF(U211:Z234,"=1")/6</f>
        <v>0</v>
      </c>
      <c r="T214" s="40" t="s">
        <v>34</v>
      </c>
      <c r="U214" s="83"/>
      <c r="V214" s="83"/>
      <c r="W214" s="83"/>
      <c r="X214" s="83"/>
      <c r="Y214" s="83"/>
      <c r="Z214" s="83"/>
      <c r="AA214" s="5"/>
      <c r="AB214" s="65" t="s">
        <v>89</v>
      </c>
      <c r="AC214" s="56">
        <f>A193</f>
        <v>0</v>
      </c>
      <c r="AD214" s="56">
        <f>J193</f>
        <v>0</v>
      </c>
      <c r="AE214" s="66" t="str">
        <f>S195</f>
        <v/>
      </c>
      <c r="AF214" s="56">
        <f>AB193</f>
        <v>0</v>
      </c>
      <c r="AG214" s="56">
        <f>A222</f>
        <v>0</v>
      </c>
      <c r="AH214" s="56">
        <f>J222</f>
        <v>0</v>
      </c>
      <c r="AI214" s="56">
        <f>S222</f>
        <v>0</v>
      </c>
    </row>
    <row r="215">
      <c r="A215" s="42" t="s">
        <v>35</v>
      </c>
      <c r="B215" s="40" t="s">
        <v>36</v>
      </c>
      <c r="C215" s="83"/>
      <c r="D215" s="83"/>
      <c r="E215" s="83"/>
      <c r="F215" s="83"/>
      <c r="G215" s="83"/>
      <c r="H215" s="83"/>
      <c r="I215" s="5"/>
      <c r="J215" s="42" t="s">
        <v>35</v>
      </c>
      <c r="K215" s="40" t="s">
        <v>36</v>
      </c>
      <c r="L215" s="83"/>
      <c r="M215" s="83"/>
      <c r="N215" s="83"/>
      <c r="O215" s="83"/>
      <c r="P215" s="83"/>
      <c r="Q215" s="83"/>
      <c r="R215" s="5"/>
      <c r="S215" s="42" t="s">
        <v>35</v>
      </c>
      <c r="T215" s="40" t="s">
        <v>36</v>
      </c>
      <c r="U215" s="83"/>
      <c r="V215" s="83"/>
      <c r="W215" s="83"/>
      <c r="X215" s="83"/>
      <c r="Y215" s="83"/>
      <c r="Z215" s="83"/>
      <c r="AA215" s="5"/>
      <c r="AB215" s="67"/>
      <c r="AC215" s="58" t="s">
        <v>86</v>
      </c>
      <c r="AD215" s="59"/>
      <c r="AE215" s="60">
        <f>SUM(AC214:AI214)</f>
        <v>0</v>
      </c>
      <c r="AF215" s="61" t="s">
        <v>87</v>
      </c>
      <c r="AG215" s="62"/>
      <c r="AH215" s="56">
        <f>AVERAGE(AC214:AI214)</f>
        <v>0</v>
      </c>
      <c r="AI215" s="51"/>
    </row>
    <row r="216">
      <c r="A216" s="68"/>
      <c r="B216" s="34" t="s">
        <v>38</v>
      </c>
      <c r="C216" s="83"/>
      <c r="D216" s="83"/>
      <c r="E216" s="83"/>
      <c r="F216" s="83"/>
      <c r="G216" s="85"/>
      <c r="H216" s="83"/>
      <c r="I216" s="5"/>
      <c r="J216" s="68"/>
      <c r="K216" s="34" t="s">
        <v>38</v>
      </c>
      <c r="L216" s="83"/>
      <c r="M216" s="83"/>
      <c r="N216" s="83"/>
      <c r="O216" s="83"/>
      <c r="P216" s="85"/>
      <c r="Q216" s="83"/>
      <c r="R216" s="5"/>
      <c r="S216" s="68"/>
      <c r="T216" s="34" t="s">
        <v>38</v>
      </c>
      <c r="U216" s="83"/>
      <c r="V216" s="83"/>
      <c r="W216" s="83"/>
      <c r="X216" s="83"/>
      <c r="Y216" s="85"/>
      <c r="Z216" s="83"/>
      <c r="AA216" s="5"/>
      <c r="AB216" s="69" t="s">
        <v>93</v>
      </c>
      <c r="AC216" s="56">
        <f>A197</f>
        <v>0</v>
      </c>
      <c r="AD216" s="56">
        <f>J197</f>
        <v>0</v>
      </c>
      <c r="AE216" s="56">
        <f>S197</f>
        <v>0</v>
      </c>
      <c r="AF216" s="56">
        <f>AB197</f>
        <v>0</v>
      </c>
      <c r="AG216" s="56">
        <f>A226</f>
        <v>0</v>
      </c>
      <c r="AH216" s="56">
        <f>J226</f>
        <v>0</v>
      </c>
      <c r="AI216" s="56">
        <f>S226</f>
        <v>0</v>
      </c>
    </row>
    <row r="217">
      <c r="A217" s="39"/>
      <c r="B217" s="40" t="s">
        <v>42</v>
      </c>
      <c r="C217" s="83"/>
      <c r="D217" s="83"/>
      <c r="E217" s="83"/>
      <c r="F217" s="83"/>
      <c r="G217" s="83"/>
      <c r="H217" s="83"/>
      <c r="I217" s="5"/>
      <c r="J217" s="39"/>
      <c r="K217" s="40" t="s">
        <v>42</v>
      </c>
      <c r="L217" s="83"/>
      <c r="M217" s="83"/>
      <c r="N217" s="83"/>
      <c r="O217" s="83"/>
      <c r="P217" s="83"/>
      <c r="Q217" s="83"/>
      <c r="R217" s="5"/>
      <c r="S217" s="39"/>
      <c r="T217" s="40" t="s">
        <v>42</v>
      </c>
      <c r="U217" s="83"/>
      <c r="V217" s="83"/>
      <c r="W217" s="83"/>
      <c r="X217" s="83"/>
      <c r="Y217" s="83"/>
      <c r="Z217" s="83"/>
      <c r="AA217" s="5"/>
      <c r="AB217" s="71"/>
      <c r="AC217" s="58" t="s">
        <v>86</v>
      </c>
      <c r="AD217" s="59"/>
      <c r="AE217" s="60">
        <f>SUM(AC216:AI216)</f>
        <v>0</v>
      </c>
      <c r="AF217" s="61" t="s">
        <v>87</v>
      </c>
      <c r="AG217" s="62"/>
      <c r="AH217" s="56">
        <f>AVERAGE(AC216:AI216)</f>
        <v>0</v>
      </c>
      <c r="AI217" s="51"/>
    </row>
    <row r="218">
      <c r="A218" s="41">
        <f>COUNTIF(C211:H234,"=2")/6</f>
        <v>0</v>
      </c>
      <c r="B218" s="40" t="s">
        <v>43</v>
      </c>
      <c r="C218" s="83"/>
      <c r="D218" s="83"/>
      <c r="E218" s="83"/>
      <c r="F218" s="83"/>
      <c r="G218" s="83"/>
      <c r="H218" s="83"/>
      <c r="I218" s="5"/>
      <c r="J218" s="41">
        <f>COUNTIF(L211:Q234,"=2")/6</f>
        <v>0</v>
      </c>
      <c r="K218" s="40" t="s">
        <v>43</v>
      </c>
      <c r="L218" s="83"/>
      <c r="M218" s="83"/>
      <c r="N218" s="83"/>
      <c r="O218" s="83"/>
      <c r="P218" s="83"/>
      <c r="Q218" s="83"/>
      <c r="R218" s="5"/>
      <c r="S218" s="41">
        <f>COUNTIF(U211:Z234,"=2")/6</f>
        <v>0</v>
      </c>
      <c r="T218" s="40" t="s">
        <v>43</v>
      </c>
      <c r="U218" s="83"/>
      <c r="V218" s="83"/>
      <c r="W218" s="83"/>
      <c r="X218" s="83"/>
      <c r="Y218" s="83"/>
      <c r="Z218" s="83"/>
      <c r="AA218" s="5"/>
      <c r="AB218" s="47" t="s">
        <v>98</v>
      </c>
      <c r="AC218" s="56">
        <f>A201</f>
        <v>0</v>
      </c>
      <c r="AD218" s="56">
        <f>J201</f>
        <v>0</v>
      </c>
      <c r="AE218" s="56">
        <f>S201</f>
        <v>0</v>
      </c>
      <c r="AF218" s="56">
        <f>AB201</f>
        <v>0</v>
      </c>
      <c r="AG218" s="56">
        <f>A230</f>
        <v>0</v>
      </c>
      <c r="AH218" s="56">
        <f>J230</f>
        <v>0</v>
      </c>
      <c r="AI218" s="56">
        <f>S230</f>
        <v>0</v>
      </c>
    </row>
    <row r="219">
      <c r="A219" s="44" t="s">
        <v>44</v>
      </c>
      <c r="B219" s="40" t="s">
        <v>45</v>
      </c>
      <c r="C219" s="83"/>
      <c r="D219" s="83"/>
      <c r="E219" s="83"/>
      <c r="F219" s="83"/>
      <c r="G219" s="83"/>
      <c r="H219" s="83"/>
      <c r="I219" s="5"/>
      <c r="J219" s="44" t="s">
        <v>44</v>
      </c>
      <c r="K219" s="40" t="s">
        <v>45</v>
      </c>
      <c r="L219" s="83"/>
      <c r="M219" s="83"/>
      <c r="N219" s="83"/>
      <c r="O219" s="83"/>
      <c r="P219" s="83"/>
      <c r="Q219" s="83"/>
      <c r="R219" s="5"/>
      <c r="S219" s="44" t="s">
        <v>44</v>
      </c>
      <c r="T219" s="40" t="s">
        <v>45</v>
      </c>
      <c r="U219" s="83"/>
      <c r="V219" s="83"/>
      <c r="W219" s="83"/>
      <c r="X219" s="83"/>
      <c r="Y219" s="83"/>
      <c r="Z219" s="83"/>
      <c r="AA219" s="5"/>
      <c r="AB219" s="80"/>
      <c r="AC219" s="58" t="s">
        <v>86</v>
      </c>
      <c r="AD219" s="59"/>
      <c r="AE219" s="60">
        <f>SUM(AC218:AI218)</f>
        <v>0</v>
      </c>
      <c r="AF219" s="61" t="s">
        <v>87</v>
      </c>
      <c r="AG219" s="62"/>
      <c r="AH219" s="56">
        <f>AVERAGE(AC218:AI218)</f>
        <v>0</v>
      </c>
      <c r="AI219" s="82"/>
    </row>
    <row r="220">
      <c r="A220" s="38"/>
      <c r="B220" s="34" t="s">
        <v>47</v>
      </c>
      <c r="C220" s="83"/>
      <c r="D220" s="83"/>
      <c r="E220" s="83"/>
      <c r="F220" s="83"/>
      <c r="G220" s="83"/>
      <c r="H220" s="83"/>
      <c r="I220" s="5"/>
      <c r="J220" s="38"/>
      <c r="K220" s="34" t="s">
        <v>47</v>
      </c>
      <c r="L220" s="83"/>
      <c r="M220" s="83"/>
      <c r="N220" s="83"/>
      <c r="O220" s="83"/>
      <c r="P220" s="83"/>
      <c r="Q220" s="83"/>
      <c r="R220" s="5"/>
      <c r="S220" s="38"/>
      <c r="T220" s="34" t="s">
        <v>47</v>
      </c>
      <c r="U220" s="83"/>
      <c r="V220" s="83"/>
      <c r="W220" s="83"/>
      <c r="X220" s="83"/>
      <c r="Y220" s="83"/>
      <c r="Z220" s="83"/>
      <c r="AA220" s="5"/>
      <c r="AB220" s="5"/>
      <c r="AC220" s="5"/>
      <c r="AD220" s="5"/>
      <c r="AE220" s="5"/>
      <c r="AF220" s="5"/>
      <c r="AG220" s="5"/>
      <c r="AH220" s="5"/>
      <c r="AI220" s="51"/>
    </row>
    <row r="221">
      <c r="A221" s="39"/>
      <c r="B221" s="40" t="s">
        <v>22</v>
      </c>
      <c r="C221" s="83"/>
      <c r="D221" s="83"/>
      <c r="E221" s="83"/>
      <c r="F221" s="83"/>
      <c r="G221" s="83"/>
      <c r="H221" s="83"/>
      <c r="I221" s="5"/>
      <c r="J221" s="39"/>
      <c r="K221" s="40" t="s">
        <v>22</v>
      </c>
      <c r="L221" s="83"/>
      <c r="M221" s="83"/>
      <c r="N221" s="83"/>
      <c r="O221" s="83"/>
      <c r="P221" s="83"/>
      <c r="Q221" s="83"/>
      <c r="R221" s="5"/>
      <c r="S221" s="39"/>
      <c r="T221" s="40" t="s">
        <v>22</v>
      </c>
      <c r="U221" s="83"/>
      <c r="V221" s="83"/>
      <c r="W221" s="83"/>
      <c r="X221" s="83"/>
      <c r="Y221" s="83"/>
      <c r="Z221" s="83"/>
      <c r="AA221" s="5"/>
      <c r="AB221" s="5"/>
      <c r="AC221" s="5"/>
      <c r="AD221" s="5"/>
      <c r="AE221" s="5"/>
      <c r="AF221" s="5"/>
      <c r="AG221" s="5"/>
      <c r="AH221" s="5"/>
      <c r="AI221" s="51"/>
    </row>
    <row r="222">
      <c r="A222" s="41">
        <f>COUNTIF(C211:H234,"=3")/6</f>
        <v>0</v>
      </c>
      <c r="B222" s="40" t="s">
        <v>50</v>
      </c>
      <c r="C222" s="83"/>
      <c r="D222" s="83"/>
      <c r="E222" s="83"/>
      <c r="F222" s="83"/>
      <c r="G222" s="83"/>
      <c r="H222" s="83"/>
      <c r="I222" s="5"/>
      <c r="J222" s="41">
        <f>COUNTIF(L211:Q234,"=3")/6</f>
        <v>0</v>
      </c>
      <c r="K222" s="40" t="s">
        <v>50</v>
      </c>
      <c r="L222" s="83"/>
      <c r="M222" s="83"/>
      <c r="N222" s="83"/>
      <c r="O222" s="83"/>
      <c r="P222" s="83"/>
      <c r="Q222" s="83"/>
      <c r="R222" s="5"/>
      <c r="S222" s="41">
        <f>COUNTIF(U211:Z234,"=3")/6</f>
        <v>0</v>
      </c>
      <c r="T222" s="40" t="s">
        <v>50</v>
      </c>
      <c r="U222" s="83"/>
      <c r="V222" s="83"/>
      <c r="W222" s="83"/>
      <c r="X222" s="83"/>
      <c r="Y222" s="83"/>
      <c r="Z222" s="83"/>
      <c r="AA222" s="5"/>
      <c r="AB222" s="5"/>
      <c r="AC222" s="5"/>
      <c r="AD222" s="5"/>
      <c r="AE222" s="5"/>
      <c r="AF222" s="5"/>
      <c r="AG222" s="5"/>
      <c r="AH222" s="5"/>
      <c r="AI222" s="51"/>
    </row>
    <row r="223">
      <c r="A223" s="45" t="s">
        <v>51</v>
      </c>
      <c r="B223" s="40" t="s">
        <v>52</v>
      </c>
      <c r="C223" s="83"/>
      <c r="D223" s="83"/>
      <c r="E223" s="83"/>
      <c r="F223" s="83"/>
      <c r="G223" s="83"/>
      <c r="H223" s="83"/>
      <c r="I223" s="5"/>
      <c r="J223" s="45" t="s">
        <v>51</v>
      </c>
      <c r="K223" s="40" t="s">
        <v>52</v>
      </c>
      <c r="L223" s="83"/>
      <c r="M223" s="83"/>
      <c r="N223" s="83"/>
      <c r="O223" s="83"/>
      <c r="P223" s="83"/>
      <c r="Q223" s="83"/>
      <c r="R223" s="5"/>
      <c r="S223" s="45" t="s">
        <v>51</v>
      </c>
      <c r="T223" s="40" t="s">
        <v>52</v>
      </c>
      <c r="U223" s="83"/>
      <c r="V223" s="83"/>
      <c r="W223" s="83"/>
      <c r="X223" s="83"/>
      <c r="Y223" s="83"/>
      <c r="Z223" s="83"/>
      <c r="AA223" s="5"/>
      <c r="AB223" s="5"/>
      <c r="AC223" s="5"/>
      <c r="AD223" s="5"/>
      <c r="AE223" s="5"/>
      <c r="AF223" s="5"/>
      <c r="AG223" s="5"/>
      <c r="AH223" s="5"/>
      <c r="AI223" s="51"/>
    </row>
    <row r="224">
      <c r="A224" s="38"/>
      <c r="B224" s="34" t="s">
        <v>54</v>
      </c>
      <c r="C224" s="83"/>
      <c r="D224" s="83"/>
      <c r="E224" s="83"/>
      <c r="F224" s="83"/>
      <c r="G224" s="83"/>
      <c r="H224" s="83"/>
      <c r="I224" s="5"/>
      <c r="J224" s="38"/>
      <c r="K224" s="34" t="s">
        <v>54</v>
      </c>
      <c r="L224" s="83"/>
      <c r="M224" s="83"/>
      <c r="N224" s="83"/>
      <c r="O224" s="83"/>
      <c r="P224" s="83"/>
      <c r="Q224" s="83"/>
      <c r="R224" s="5"/>
      <c r="S224" s="38"/>
      <c r="T224" s="34" t="s">
        <v>54</v>
      </c>
      <c r="U224" s="83"/>
      <c r="V224" s="83"/>
      <c r="W224" s="83"/>
      <c r="X224" s="83"/>
      <c r="Y224" s="83"/>
      <c r="Z224" s="83"/>
      <c r="AA224" s="5"/>
      <c r="AB224" s="5"/>
      <c r="AC224" s="5"/>
      <c r="AD224" s="5"/>
      <c r="AE224" s="5"/>
      <c r="AF224" s="5"/>
      <c r="AG224" s="5"/>
      <c r="AH224" s="5"/>
      <c r="AI224" s="51"/>
    </row>
    <row r="225">
      <c r="A225" s="46"/>
      <c r="B225" s="40" t="s">
        <v>58</v>
      </c>
      <c r="C225" s="83"/>
      <c r="D225" s="83"/>
      <c r="E225" s="83"/>
      <c r="F225" s="83"/>
      <c r="G225" s="83"/>
      <c r="H225" s="83"/>
      <c r="I225" s="5"/>
      <c r="J225" s="46"/>
      <c r="K225" s="40" t="s">
        <v>58</v>
      </c>
      <c r="L225" s="83"/>
      <c r="M225" s="83"/>
      <c r="N225" s="83"/>
      <c r="O225" s="83"/>
      <c r="P225" s="83"/>
      <c r="Q225" s="83"/>
      <c r="R225" s="5"/>
      <c r="S225" s="46"/>
      <c r="T225" s="40" t="s">
        <v>58</v>
      </c>
      <c r="U225" s="83"/>
      <c r="V225" s="83"/>
      <c r="W225" s="83"/>
      <c r="X225" s="83"/>
      <c r="Y225" s="83"/>
      <c r="Z225" s="83"/>
      <c r="AA225" s="5"/>
      <c r="AB225" s="5"/>
      <c r="AC225" s="5"/>
      <c r="AD225" s="5"/>
      <c r="AE225" s="5"/>
      <c r="AF225" s="5"/>
      <c r="AG225" s="5"/>
      <c r="AH225" s="5"/>
      <c r="AI225" s="51"/>
    </row>
    <row r="226">
      <c r="A226" s="41">
        <f>COUNTIF(C211:H234,"=4")/6</f>
        <v>0</v>
      </c>
      <c r="B226" s="40" t="s">
        <v>59</v>
      </c>
      <c r="C226" s="83"/>
      <c r="D226" s="83"/>
      <c r="E226" s="83"/>
      <c r="F226" s="83"/>
      <c r="G226" s="83"/>
      <c r="H226" s="83"/>
      <c r="I226" s="5"/>
      <c r="J226" s="41">
        <f>COUNTIF(L211:Q234,"=4")/6</f>
        <v>0</v>
      </c>
      <c r="K226" s="40" t="s">
        <v>59</v>
      </c>
      <c r="L226" s="83"/>
      <c r="M226" s="83"/>
      <c r="N226" s="83"/>
      <c r="O226" s="83"/>
      <c r="P226" s="83"/>
      <c r="Q226" s="83"/>
      <c r="R226" s="5"/>
      <c r="S226" s="41">
        <f>COUNTIF(U211:Z234,"=4")/6</f>
        <v>0</v>
      </c>
      <c r="T226" s="40" t="s">
        <v>59</v>
      </c>
      <c r="U226" s="83"/>
      <c r="V226" s="83"/>
      <c r="W226" s="83"/>
      <c r="X226" s="83"/>
      <c r="Y226" s="83"/>
      <c r="Z226" s="83"/>
      <c r="AA226" s="5"/>
      <c r="AB226" s="5"/>
      <c r="AC226" s="5"/>
      <c r="AD226" s="5"/>
      <c r="AE226" s="5"/>
      <c r="AF226" s="5"/>
      <c r="AG226" s="5"/>
      <c r="AH226" s="5"/>
      <c r="AI226" s="51"/>
    </row>
    <row r="227">
      <c r="A227" s="47" t="s">
        <v>60</v>
      </c>
      <c r="B227" s="40" t="s">
        <v>61</v>
      </c>
      <c r="C227" s="83"/>
      <c r="D227" s="83"/>
      <c r="E227" s="83"/>
      <c r="F227" s="83"/>
      <c r="G227" s="83"/>
      <c r="H227" s="83"/>
      <c r="I227" s="5"/>
      <c r="J227" s="47" t="s">
        <v>60</v>
      </c>
      <c r="K227" s="40" t="s">
        <v>61</v>
      </c>
      <c r="L227" s="83"/>
      <c r="M227" s="83"/>
      <c r="N227" s="83"/>
      <c r="O227" s="83"/>
      <c r="P227" s="83"/>
      <c r="Q227" s="83"/>
      <c r="R227" s="5"/>
      <c r="S227" s="47" t="s">
        <v>60</v>
      </c>
      <c r="T227" s="40" t="s">
        <v>61</v>
      </c>
      <c r="U227" s="83"/>
      <c r="V227" s="83"/>
      <c r="W227" s="83"/>
      <c r="X227" s="83"/>
      <c r="Y227" s="83"/>
      <c r="Z227" s="83"/>
      <c r="AA227" s="5"/>
      <c r="AB227" s="5"/>
      <c r="AC227" s="5"/>
      <c r="AD227" s="5"/>
      <c r="AE227" s="5"/>
      <c r="AF227" s="5"/>
      <c r="AG227" s="5"/>
      <c r="AH227" s="5"/>
      <c r="AI227" s="51"/>
    </row>
    <row r="228">
      <c r="A228" s="38"/>
      <c r="B228" s="34" t="s">
        <v>63</v>
      </c>
      <c r="C228" s="83"/>
      <c r="D228" s="83"/>
      <c r="E228" s="83"/>
      <c r="F228" s="83"/>
      <c r="G228" s="83"/>
      <c r="H228" s="83"/>
      <c r="I228" s="5"/>
      <c r="J228" s="38"/>
      <c r="K228" s="34" t="s">
        <v>63</v>
      </c>
      <c r="L228" s="83"/>
      <c r="M228" s="83"/>
      <c r="N228" s="83"/>
      <c r="O228" s="83"/>
      <c r="P228" s="83"/>
      <c r="Q228" s="83"/>
      <c r="R228" s="5"/>
      <c r="S228" s="38"/>
      <c r="T228" s="34" t="s">
        <v>63</v>
      </c>
      <c r="U228" s="83"/>
      <c r="V228" s="83"/>
      <c r="W228" s="83"/>
      <c r="X228" s="83"/>
      <c r="Y228" s="83"/>
      <c r="Z228" s="83"/>
      <c r="AA228" s="5"/>
      <c r="AB228" s="5"/>
      <c r="AC228" s="5"/>
      <c r="AD228" s="5"/>
      <c r="AE228" s="5"/>
      <c r="AF228" s="5"/>
      <c r="AG228" s="5"/>
      <c r="AH228" s="5"/>
      <c r="AI228" s="51"/>
    </row>
    <row r="229">
      <c r="A229" s="46"/>
      <c r="B229" s="40" t="s">
        <v>67</v>
      </c>
      <c r="C229" s="83"/>
      <c r="D229" s="83"/>
      <c r="E229" s="83"/>
      <c r="F229" s="83"/>
      <c r="G229" s="83"/>
      <c r="H229" s="83"/>
      <c r="I229" s="5"/>
      <c r="J229" s="46"/>
      <c r="K229" s="40" t="s">
        <v>67</v>
      </c>
      <c r="L229" s="83"/>
      <c r="M229" s="83"/>
      <c r="N229" s="83"/>
      <c r="O229" s="83"/>
      <c r="P229" s="83"/>
      <c r="Q229" s="83"/>
      <c r="R229" s="5"/>
      <c r="S229" s="46"/>
      <c r="T229" s="40" t="s">
        <v>67</v>
      </c>
      <c r="U229" s="83"/>
      <c r="V229" s="83"/>
      <c r="W229" s="83"/>
      <c r="X229" s="83"/>
      <c r="Y229" s="83"/>
      <c r="Z229" s="83"/>
      <c r="AA229" s="5"/>
      <c r="AB229" s="5"/>
      <c r="AC229" s="5"/>
      <c r="AD229" s="5"/>
      <c r="AE229" s="5"/>
      <c r="AF229" s="5"/>
      <c r="AG229" s="5"/>
      <c r="AH229" s="5"/>
      <c r="AI229" s="51"/>
    </row>
    <row r="230">
      <c r="A230" s="41">
        <f>COUNTIF(C211:H234,"=5")/6</f>
        <v>0</v>
      </c>
      <c r="B230" s="40" t="s">
        <v>68</v>
      </c>
      <c r="C230" s="83"/>
      <c r="D230" s="83"/>
      <c r="E230" s="83"/>
      <c r="F230" s="83"/>
      <c r="G230" s="83"/>
      <c r="H230" s="83"/>
      <c r="I230" s="5"/>
      <c r="J230" s="41">
        <f>COUNTIF(L211:Q234,"=5")/6</f>
        <v>0</v>
      </c>
      <c r="K230" s="40" t="s">
        <v>68</v>
      </c>
      <c r="L230" s="83"/>
      <c r="M230" s="83"/>
      <c r="N230" s="83"/>
      <c r="O230" s="83"/>
      <c r="P230" s="83"/>
      <c r="Q230" s="83"/>
      <c r="R230" s="5"/>
      <c r="S230" s="41">
        <f>COUNTIF(U211:Z234,"=5")/6</f>
        <v>0</v>
      </c>
      <c r="T230" s="40" t="s">
        <v>68</v>
      </c>
      <c r="U230" s="83"/>
      <c r="V230" s="83"/>
      <c r="W230" s="83"/>
      <c r="X230" s="83"/>
      <c r="Y230" s="83"/>
      <c r="Z230" s="83"/>
      <c r="AA230" s="5"/>
      <c r="AB230" s="5"/>
      <c r="AC230" s="5"/>
      <c r="AD230" s="5"/>
      <c r="AE230" s="5"/>
      <c r="AF230" s="5"/>
      <c r="AG230" s="5"/>
      <c r="AH230" s="5"/>
      <c r="AI230" s="51"/>
    </row>
    <row r="231">
      <c r="A231" s="48" t="s">
        <v>69</v>
      </c>
      <c r="B231" s="40" t="s">
        <v>23</v>
      </c>
      <c r="C231" s="83"/>
      <c r="D231" s="83"/>
      <c r="E231" s="83"/>
      <c r="F231" s="83"/>
      <c r="G231" s="83"/>
      <c r="H231" s="83"/>
      <c r="I231" s="5"/>
      <c r="J231" s="48" t="s">
        <v>69</v>
      </c>
      <c r="K231" s="40" t="s">
        <v>23</v>
      </c>
      <c r="L231" s="83"/>
      <c r="M231" s="83"/>
      <c r="N231" s="83"/>
      <c r="O231" s="83"/>
      <c r="P231" s="83"/>
      <c r="Q231" s="83"/>
      <c r="R231" s="5"/>
      <c r="S231" s="48" t="s">
        <v>69</v>
      </c>
      <c r="T231" s="40" t="s">
        <v>23</v>
      </c>
      <c r="U231" s="83"/>
      <c r="V231" s="83"/>
      <c r="W231" s="83"/>
      <c r="X231" s="83"/>
      <c r="Y231" s="83"/>
      <c r="Z231" s="83"/>
      <c r="AA231" s="5"/>
      <c r="AB231" s="5"/>
      <c r="AC231" s="5"/>
      <c r="AD231" s="5"/>
      <c r="AE231" s="5"/>
      <c r="AF231" s="5"/>
      <c r="AG231" s="5"/>
      <c r="AH231" s="5"/>
      <c r="AI231" s="51"/>
    </row>
    <row r="232">
      <c r="A232" s="46"/>
      <c r="B232" s="34" t="s">
        <v>70</v>
      </c>
      <c r="C232" s="83"/>
      <c r="D232" s="83"/>
      <c r="E232" s="83"/>
      <c r="F232" s="83"/>
      <c r="G232" s="83"/>
      <c r="H232" s="83"/>
      <c r="I232" s="5"/>
      <c r="J232" s="46"/>
      <c r="K232" s="34" t="s">
        <v>70</v>
      </c>
      <c r="L232" s="83"/>
      <c r="M232" s="83"/>
      <c r="N232" s="83"/>
      <c r="O232" s="83"/>
      <c r="P232" s="83"/>
      <c r="Q232" s="83"/>
      <c r="R232" s="5"/>
      <c r="S232" s="46"/>
      <c r="T232" s="34" t="s">
        <v>70</v>
      </c>
      <c r="U232" s="83"/>
      <c r="V232" s="83"/>
      <c r="W232" s="83"/>
      <c r="X232" s="83"/>
      <c r="Y232" s="83"/>
      <c r="Z232" s="83"/>
      <c r="AA232" s="5"/>
      <c r="AB232" s="5"/>
      <c r="AC232" s="5"/>
      <c r="AD232" s="5"/>
      <c r="AE232" s="5"/>
      <c r="AF232" s="5"/>
      <c r="AG232" s="5"/>
      <c r="AH232" s="5"/>
      <c r="AI232" s="51"/>
    </row>
    <row r="233">
      <c r="A233" s="39"/>
      <c r="B233" s="34" t="s">
        <v>72</v>
      </c>
      <c r="C233" s="83"/>
      <c r="D233" s="83"/>
      <c r="E233" s="83"/>
      <c r="F233" s="83"/>
      <c r="G233" s="83"/>
      <c r="H233" s="83"/>
      <c r="I233" s="5"/>
      <c r="J233" s="39"/>
      <c r="K233" s="34" t="s">
        <v>72</v>
      </c>
      <c r="L233" s="83"/>
      <c r="M233" s="83"/>
      <c r="N233" s="83"/>
      <c r="O233" s="83"/>
      <c r="P233" s="83"/>
      <c r="Q233" s="83"/>
      <c r="R233" s="5"/>
      <c r="S233" s="39"/>
      <c r="T233" s="34" t="s">
        <v>72</v>
      </c>
      <c r="U233" s="83"/>
      <c r="V233" s="83"/>
      <c r="W233" s="83"/>
      <c r="X233" s="83"/>
      <c r="Y233" s="83"/>
      <c r="Z233" s="83"/>
      <c r="AA233" s="5"/>
      <c r="AB233" s="5"/>
      <c r="AC233" s="5"/>
      <c r="AD233" s="5"/>
      <c r="AE233" s="5"/>
      <c r="AF233" s="5"/>
      <c r="AG233" s="5"/>
      <c r="AH233" s="5"/>
      <c r="AI233" s="51"/>
    </row>
    <row r="234">
      <c r="A234" s="49"/>
      <c r="B234" s="34" t="s">
        <v>73</v>
      </c>
      <c r="C234" s="83"/>
      <c r="D234" s="83"/>
      <c r="E234" s="83"/>
      <c r="F234" s="83"/>
      <c r="G234" s="83"/>
      <c r="H234" s="83"/>
      <c r="I234" s="5"/>
      <c r="J234" s="49"/>
      <c r="K234" s="34" t="s">
        <v>73</v>
      </c>
      <c r="L234" s="83"/>
      <c r="M234" s="83"/>
      <c r="N234" s="83"/>
      <c r="O234" s="83"/>
      <c r="P234" s="83"/>
      <c r="Q234" s="83"/>
      <c r="R234" s="5"/>
      <c r="S234" s="49"/>
      <c r="T234" s="34" t="s">
        <v>73</v>
      </c>
      <c r="U234" s="83"/>
      <c r="V234" s="83"/>
      <c r="W234" s="83"/>
      <c r="X234" s="83"/>
      <c r="Y234" s="83"/>
      <c r="Z234" s="83"/>
      <c r="AA234" s="5"/>
      <c r="AB234" s="5"/>
      <c r="AC234" s="5"/>
      <c r="AD234" s="5"/>
      <c r="AE234" s="5"/>
      <c r="AF234" s="5"/>
      <c r="AG234" s="5"/>
      <c r="AH234" s="5"/>
      <c r="AI234" s="51"/>
    </row>
    <row r="235">
      <c r="A235" s="50">
        <f>SUM(A214,A218,A222,A226,A230)</f>
        <v>0</v>
      </c>
      <c r="B235" s="5"/>
      <c r="C235" s="5"/>
      <c r="D235" s="5"/>
      <c r="E235" s="5"/>
      <c r="F235" s="5"/>
      <c r="G235" s="5"/>
      <c r="H235" s="5"/>
      <c r="I235" s="5"/>
      <c r="J235" s="50">
        <f>SUM(J214,J218,J222,J226,J230)</f>
        <v>0</v>
      </c>
      <c r="K235" s="5"/>
      <c r="L235" s="5"/>
      <c r="M235" s="5"/>
      <c r="N235" s="5"/>
      <c r="O235" s="5"/>
      <c r="P235" s="5"/>
      <c r="Q235" s="5"/>
      <c r="R235" s="5"/>
      <c r="S235" s="50">
        <f>SUM(S214,S218,S222,S226,S230)</f>
        <v>0</v>
      </c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1"/>
    </row>
    <row r="236">
      <c r="A236" s="86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2"/>
    </row>
    <row r="239">
      <c r="A239" s="120" t="s">
        <v>220</v>
      </c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59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</row>
    <row r="257">
      <c r="B257" s="121" t="s">
        <v>87</v>
      </c>
      <c r="C257" s="121"/>
      <c r="D257" s="122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123" t="s">
        <v>87</v>
      </c>
      <c r="U257" s="123"/>
      <c r="V257" s="124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>
      <c r="A258" s="5"/>
      <c r="D258" s="5">
        <f>AVERAGE(AC33:AI33,AC92:AI92,AC151:AI151,AC210:AI210)</f>
        <v>6.279761905</v>
      </c>
      <c r="J258" s="5"/>
      <c r="K258" s="5"/>
      <c r="L258" s="5"/>
      <c r="M258" s="5"/>
      <c r="N258" s="5"/>
      <c r="O258" s="5"/>
      <c r="P258" s="5"/>
      <c r="Q258" s="5"/>
      <c r="R258" s="5"/>
      <c r="S258" s="5"/>
      <c r="V258" s="125">
        <f>AVERAGE(AC41:AI41,AC100:AI100,AC159:AI159,AC218:AI218)</f>
        <v>3.94047619</v>
      </c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</row>
    <row r="259">
      <c r="A259" s="5"/>
      <c r="B259" s="5"/>
      <c r="C259" s="5"/>
      <c r="D259" s="5"/>
      <c r="E259" s="5"/>
      <c r="F259" s="5"/>
      <c r="G259" s="5"/>
      <c r="H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>
      <c r="A260" s="5"/>
      <c r="B260" s="126" t="s">
        <v>221</v>
      </c>
      <c r="C260" s="127"/>
      <c r="D260" s="127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128" t="s">
        <v>221</v>
      </c>
      <c r="U260" s="129"/>
      <c r="V260" s="129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</row>
    <row r="261">
      <c r="A261" s="5"/>
      <c r="D261" s="130">
        <f>MAX(AC33:AI33,AC92:AI92,AC151:AI151,AC210:AI210)-MIN(AC33:AI33,AC92:AI92,AC151:AI151,AC210:AI210)</f>
        <v>12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V261" s="130">
        <f>MAX(AC41:AI41,AC100:AI100,AC159:AI159,AC218:AI218)-MIN(AC41:AI41,AC100:AI100,AC159:AI159,AC218:AI218)</f>
        <v>11</v>
      </c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>
      <c r="A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131" t="s">
        <v>87</v>
      </c>
      <c r="U282" s="131"/>
      <c r="V282" s="132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>
      <c r="A283" s="5"/>
      <c r="B283" s="133" t="s">
        <v>87</v>
      </c>
      <c r="C283" s="133"/>
      <c r="D283" s="134"/>
      <c r="E283" s="5"/>
      <c r="F283" s="135" t="s">
        <v>87</v>
      </c>
      <c r="G283" s="135"/>
      <c r="H283" s="136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V283" s="125">
        <f>AVERAGE(AC35:AI35,AC94:AI94,AC153:AI153,AC212:AI212)</f>
        <v>1.577380952</v>
      </c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>
      <c r="A284" s="5"/>
      <c r="D284" s="5">
        <f>AVERAGE(AC37:AI37,AC96:AI96,AC155:AI155,AC214:AI214)</f>
        <v>2.027777778</v>
      </c>
      <c r="E284" s="5"/>
      <c r="H284" s="125">
        <f>AVERAGE(AC39:AI39,AC98:AI98,AC157:AI157,AC216:AI216)</f>
        <v>3.166666667</v>
      </c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137" t="s">
        <v>221</v>
      </c>
      <c r="U285" s="138"/>
      <c r="V285" s="138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>
      <c r="A286" s="5"/>
      <c r="B286" s="139" t="s">
        <v>221</v>
      </c>
      <c r="C286" s="140"/>
      <c r="D286" s="140"/>
      <c r="E286" s="5"/>
      <c r="F286" s="141" t="s">
        <v>221</v>
      </c>
      <c r="G286" s="142"/>
      <c r="H286" s="142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V286" s="130">
        <f>MAX(AC35:AI35,AC94:AI94,AC153:AI153,AC212:AI212)-MIN(AC35:AI35,AC94:AI94,AC153:AI153,AC212:AI212)</f>
        <v>6.5</v>
      </c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>
      <c r="A287" s="5"/>
      <c r="D287" s="130">
        <f>MAX(AC37:AI37,AC96:AI96,AC155:AI155,AC214:AI214)-MIN(AC37:AI37,AC96:AI96,AC155:AI155,AC214:AI214)</f>
        <v>8.5</v>
      </c>
      <c r="E287" s="5"/>
      <c r="H287" s="130">
        <f>MAX(AC39:AI39,AC98:AI98,AC157:AI157,AC216:AI216)-MIN(AC39:AI39,AC98:AI98,AC157:AI157,AC216:AI216)</f>
        <v>10.83333333</v>
      </c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</row>
    <row r="293"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15" t="s">
        <v>222</v>
      </c>
      <c r="T293" s="92"/>
      <c r="U293" s="92"/>
      <c r="V293" s="92"/>
      <c r="W293" s="92"/>
      <c r="X293" s="92"/>
      <c r="Y293" s="92"/>
      <c r="Z293" s="92"/>
      <c r="AA293" s="92"/>
      <c r="AB293" s="94"/>
      <c r="AC293" s="5"/>
      <c r="AD293" s="5"/>
      <c r="AE293" s="5"/>
      <c r="AF293" s="5"/>
      <c r="AG293" s="5"/>
      <c r="AH293" s="5"/>
      <c r="AI293" s="5"/>
      <c r="AJ293" s="5"/>
    </row>
    <row r="294"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2"/>
      <c r="T294" s="5"/>
      <c r="U294" s="5"/>
      <c r="V294" s="5"/>
      <c r="W294" s="5"/>
      <c r="X294" s="5"/>
      <c r="Y294" s="5"/>
      <c r="Z294" s="5"/>
      <c r="AA294" s="5"/>
      <c r="AB294" s="51"/>
      <c r="AC294" s="5"/>
      <c r="AD294" s="5"/>
      <c r="AE294" s="5"/>
      <c r="AF294" s="5"/>
      <c r="AG294" s="5"/>
      <c r="AH294" s="5"/>
      <c r="AI294" s="5"/>
    </row>
    <row r="295">
      <c r="S295" s="100"/>
      <c r="AB295" s="22"/>
    </row>
    <row r="296">
      <c r="S296" s="100"/>
      <c r="AB296" s="22"/>
    </row>
    <row r="297">
      <c r="S297" s="100"/>
      <c r="AB297" s="22"/>
    </row>
    <row r="298">
      <c r="S298" s="100"/>
      <c r="AB298" s="22"/>
    </row>
    <row r="299">
      <c r="S299" s="100"/>
      <c r="AB299" s="22"/>
    </row>
    <row r="300">
      <c r="S300" s="100"/>
      <c r="AB300" s="22"/>
    </row>
    <row r="301">
      <c r="S301" s="100"/>
      <c r="AB301" s="22"/>
    </row>
    <row r="302">
      <c r="S302" s="100"/>
      <c r="AB302" s="22"/>
    </row>
    <row r="303">
      <c r="S303" s="100"/>
      <c r="AB303" s="22"/>
    </row>
    <row r="304">
      <c r="S304" s="100"/>
      <c r="AB304" s="22"/>
    </row>
    <row r="305">
      <c r="S305" s="100"/>
      <c r="AB305" s="22"/>
    </row>
    <row r="306">
      <c r="S306" s="100"/>
      <c r="AB306" s="22"/>
    </row>
    <row r="307">
      <c r="S307" s="100"/>
      <c r="AB307" s="22"/>
    </row>
    <row r="308">
      <c r="S308" s="100"/>
      <c r="AB308" s="22"/>
    </row>
    <row r="309">
      <c r="S309" s="100"/>
      <c r="AB309" s="22"/>
    </row>
    <row r="310">
      <c r="S310" s="100"/>
      <c r="AB310" s="22"/>
    </row>
    <row r="311">
      <c r="S311" s="100"/>
      <c r="AB311" s="22"/>
    </row>
    <row r="312">
      <c r="S312" s="100"/>
      <c r="AB312" s="22"/>
    </row>
    <row r="313">
      <c r="S313" s="100"/>
      <c r="AB313" s="22"/>
    </row>
    <row r="314">
      <c r="S314" s="100"/>
      <c r="AB314" s="22"/>
    </row>
    <row r="315">
      <c r="S315" s="100"/>
      <c r="AB315" s="22"/>
    </row>
    <row r="316">
      <c r="S316" s="100"/>
      <c r="AB316" s="22"/>
    </row>
    <row r="317">
      <c r="S317" s="117"/>
      <c r="T317" s="118"/>
      <c r="U317" s="118"/>
      <c r="V317" s="118"/>
      <c r="W317" s="118"/>
      <c r="X317" s="118"/>
      <c r="Y317" s="118"/>
      <c r="Z317" s="118"/>
      <c r="AA317" s="118"/>
      <c r="AB317" s="116"/>
    </row>
    <row r="328">
      <c r="A328" s="143" t="s">
        <v>223</v>
      </c>
      <c r="B328" s="143" t="s">
        <v>224</v>
      </c>
      <c r="C328" s="143" t="s">
        <v>225</v>
      </c>
      <c r="D328" s="143" t="s">
        <v>226</v>
      </c>
      <c r="E328" s="143" t="s">
        <v>227</v>
      </c>
      <c r="F328" s="143" t="s">
        <v>228</v>
      </c>
      <c r="G328" s="144" t="s">
        <v>229</v>
      </c>
    </row>
    <row r="329">
      <c r="A329" s="145" t="s">
        <v>78</v>
      </c>
      <c r="B329" s="149">
        <f>A8</f>
        <v>4.5</v>
      </c>
      <c r="C329" s="149">
        <f>A12</f>
        <v>1.5</v>
      </c>
      <c r="D329" s="149">
        <f>A16</f>
        <v>6.833333333</v>
      </c>
      <c r="E329" s="149">
        <f>A20</f>
        <v>8.333333333</v>
      </c>
      <c r="F329" s="149">
        <f>A24</f>
        <v>2.833333333</v>
      </c>
      <c r="G329" s="150">
        <f t="shared" ref="G329:G356" si="1">SUM(B329:F329)</f>
        <v>24</v>
      </c>
    </row>
    <row r="330">
      <c r="A330" s="146" t="s">
        <v>79</v>
      </c>
      <c r="B330" s="151">
        <f>J8</f>
        <v>11.5</v>
      </c>
      <c r="C330" s="151">
        <f>J12</f>
        <v>1.833333333</v>
      </c>
      <c r="D330" s="151">
        <f>J16</f>
        <v>1.166666667</v>
      </c>
      <c r="E330" s="151">
        <f>J20</f>
        <v>2.166666667</v>
      </c>
      <c r="F330" s="151">
        <f>J24</f>
        <v>7.333333333</v>
      </c>
      <c r="G330" s="150">
        <f t="shared" si="1"/>
        <v>24</v>
      </c>
    </row>
    <row r="331">
      <c r="A331" s="146" t="s">
        <v>80</v>
      </c>
      <c r="B331" s="151">
        <f>S8</f>
        <v>12</v>
      </c>
      <c r="C331" s="151">
        <f>S12</f>
        <v>1.833333333</v>
      </c>
      <c r="D331" s="151">
        <f>S16</f>
        <v>2.5</v>
      </c>
      <c r="E331" s="151">
        <f>S20</f>
        <v>1</v>
      </c>
      <c r="F331" s="151">
        <f>S24</f>
        <v>6.666666667</v>
      </c>
      <c r="G331" s="150">
        <f t="shared" si="1"/>
        <v>24</v>
      </c>
    </row>
    <row r="332">
      <c r="A332" s="146" t="s">
        <v>81</v>
      </c>
      <c r="B332" s="151">
        <f>AB8</f>
        <v>9</v>
      </c>
      <c r="C332" s="151">
        <f>AB12</f>
        <v>1.166666667</v>
      </c>
      <c r="D332" s="151">
        <f>AB16</f>
        <v>1</v>
      </c>
      <c r="E332" s="151">
        <f>AB20</f>
        <v>10.83333333</v>
      </c>
      <c r="F332" s="151">
        <f>AB24</f>
        <v>2</v>
      </c>
      <c r="G332" s="150">
        <f t="shared" si="1"/>
        <v>24</v>
      </c>
    </row>
    <row r="333">
      <c r="A333" s="146" t="s">
        <v>82</v>
      </c>
      <c r="B333" s="151">
        <f>A37</f>
        <v>10</v>
      </c>
      <c r="C333" s="151">
        <f>A41</f>
        <v>1.666666667</v>
      </c>
      <c r="D333" s="151">
        <f>A45</f>
        <v>0.6666666667</v>
      </c>
      <c r="E333" s="151">
        <f>A49</f>
        <v>6.666666667</v>
      </c>
      <c r="F333" s="151">
        <f>A53</f>
        <v>5</v>
      </c>
      <c r="G333" s="150">
        <f t="shared" si="1"/>
        <v>24</v>
      </c>
    </row>
    <row r="334">
      <c r="A334" s="146" t="s">
        <v>83</v>
      </c>
      <c r="B334" s="151">
        <f>J37</f>
        <v>8.333333333</v>
      </c>
      <c r="C334" s="151">
        <f>J41</f>
        <v>3</v>
      </c>
      <c r="D334" s="151">
        <f>J45</f>
        <v>0.8333333333</v>
      </c>
      <c r="E334" s="151">
        <f>J49</f>
        <v>5.166666667</v>
      </c>
      <c r="F334" s="151">
        <f>J53</f>
        <v>6.666666667</v>
      </c>
      <c r="G334" s="150">
        <f t="shared" si="1"/>
        <v>24</v>
      </c>
    </row>
    <row r="335">
      <c r="A335" s="148" t="s">
        <v>84</v>
      </c>
      <c r="B335" s="152">
        <f>S37</f>
        <v>10</v>
      </c>
      <c r="C335" s="152">
        <f>S41</f>
        <v>0.5</v>
      </c>
      <c r="D335" s="152">
        <f>S45</f>
        <v>2</v>
      </c>
      <c r="E335" s="152">
        <f>S49</f>
        <v>3</v>
      </c>
      <c r="F335" s="152">
        <f>S53</f>
        <v>8.5</v>
      </c>
      <c r="G335" s="153">
        <f t="shared" si="1"/>
        <v>24</v>
      </c>
    </row>
    <row r="336">
      <c r="A336" s="146" t="s">
        <v>230</v>
      </c>
      <c r="B336" s="151">
        <f>A67</f>
        <v>6.166666667</v>
      </c>
      <c r="C336" s="151">
        <f>A71</f>
        <v>2.333333333</v>
      </c>
      <c r="D336" s="151">
        <f>A75</f>
        <v>2.166666667</v>
      </c>
      <c r="E336" s="151">
        <f>A79</f>
        <v>8.833333333</v>
      </c>
      <c r="F336" s="151">
        <f>A83</f>
        <v>4.5</v>
      </c>
      <c r="G336" s="150">
        <f t="shared" si="1"/>
        <v>24</v>
      </c>
    </row>
    <row r="337">
      <c r="A337" s="146" t="s">
        <v>231</v>
      </c>
      <c r="B337" s="151">
        <f>J67</f>
        <v>9</v>
      </c>
      <c r="C337" s="151">
        <f>J71</f>
        <v>1.666666667</v>
      </c>
      <c r="D337" s="151">
        <f>J75</f>
        <v>3</v>
      </c>
      <c r="E337" s="151">
        <f>J79</f>
        <v>8</v>
      </c>
      <c r="F337" s="151">
        <f>J83</f>
        <v>2.333333333</v>
      </c>
      <c r="G337" s="150">
        <f t="shared" si="1"/>
        <v>24</v>
      </c>
    </row>
    <row r="338">
      <c r="A338" s="146" t="s">
        <v>232</v>
      </c>
      <c r="B338" s="151">
        <f>S67</f>
        <v>9.5</v>
      </c>
      <c r="C338" s="151">
        <f>S71</f>
        <v>2.166666667</v>
      </c>
      <c r="D338" s="151">
        <f>S75</f>
        <v>3.666666667</v>
      </c>
      <c r="E338" s="151">
        <f>S79</f>
        <v>1</v>
      </c>
      <c r="F338" s="151">
        <f>S83</f>
        <v>7.666666667</v>
      </c>
      <c r="G338" s="150">
        <f t="shared" si="1"/>
        <v>24</v>
      </c>
    </row>
    <row r="339">
      <c r="A339" s="146" t="s">
        <v>233</v>
      </c>
      <c r="B339" s="151">
        <f>AB67</f>
        <v>10</v>
      </c>
      <c r="C339" s="151">
        <f>AB71</f>
        <v>1.166666667</v>
      </c>
      <c r="D339" s="151">
        <f>AB75</f>
        <v>3</v>
      </c>
      <c r="E339" s="151">
        <f>AB79</f>
        <v>2.166666667</v>
      </c>
      <c r="F339" s="151">
        <f>AB83</f>
        <v>7.666666667</v>
      </c>
      <c r="G339" s="150">
        <f t="shared" si="1"/>
        <v>24</v>
      </c>
    </row>
    <row r="340">
      <c r="A340" s="146" t="s">
        <v>234</v>
      </c>
      <c r="B340" s="151">
        <f>A96</f>
        <v>8.5</v>
      </c>
      <c r="C340" s="151">
        <f>A100</f>
        <v>3.333333333</v>
      </c>
      <c r="D340" s="151">
        <f>A104</f>
        <v>1.333333333</v>
      </c>
      <c r="E340" s="151">
        <f>A108</f>
        <v>7</v>
      </c>
      <c r="F340" s="151">
        <f>A112</f>
        <v>3.833333333</v>
      </c>
      <c r="G340" s="150">
        <f t="shared" si="1"/>
        <v>24</v>
      </c>
    </row>
    <row r="341">
      <c r="A341" s="146" t="s">
        <v>235</v>
      </c>
      <c r="B341" s="151">
        <f>J96</f>
        <v>7.166666667</v>
      </c>
      <c r="C341" s="151">
        <f>J100</f>
        <v>2.333333333</v>
      </c>
      <c r="D341" s="151">
        <f>J104</f>
        <v>8.5</v>
      </c>
      <c r="E341" s="151">
        <f>J108</f>
        <v>3</v>
      </c>
      <c r="F341" s="151">
        <f>J112</f>
        <v>3</v>
      </c>
      <c r="G341" s="150">
        <f t="shared" si="1"/>
        <v>24</v>
      </c>
    </row>
    <row r="342">
      <c r="A342" s="148" t="s">
        <v>236</v>
      </c>
      <c r="B342" s="152">
        <f>S96</f>
        <v>7</v>
      </c>
      <c r="C342" s="152">
        <f>S100</f>
        <v>4</v>
      </c>
      <c r="D342" s="152">
        <f>S104</f>
        <v>2</v>
      </c>
      <c r="E342" s="152">
        <f>S108</f>
        <v>0</v>
      </c>
      <c r="F342" s="152">
        <f>S112</f>
        <v>11</v>
      </c>
      <c r="G342" s="153">
        <f t="shared" si="1"/>
        <v>24</v>
      </c>
    </row>
    <row r="343">
      <c r="A343" s="146" t="s">
        <v>237</v>
      </c>
      <c r="B343" s="151">
        <f>A126</f>
        <v>8</v>
      </c>
      <c r="C343" s="151">
        <f>A130</f>
        <v>1</v>
      </c>
      <c r="D343" s="151">
        <f>A134</f>
        <v>3.666666667</v>
      </c>
      <c r="E343" s="151">
        <f>A138</f>
        <v>2</v>
      </c>
      <c r="F343" s="151">
        <f>A142</f>
        <v>9.333333333</v>
      </c>
      <c r="G343" s="150">
        <f t="shared" si="1"/>
        <v>24</v>
      </c>
    </row>
    <row r="344">
      <c r="A344" s="146" t="s">
        <v>238</v>
      </c>
      <c r="B344" s="151">
        <f>J126</f>
        <v>11</v>
      </c>
      <c r="C344" s="151">
        <f>J130</f>
        <v>2</v>
      </c>
      <c r="D344" s="151">
        <f>J134</f>
        <v>2</v>
      </c>
      <c r="E344" s="151">
        <f>J138</f>
        <v>5</v>
      </c>
      <c r="F344" s="151">
        <f>J142</f>
        <v>4</v>
      </c>
      <c r="G344" s="150">
        <f t="shared" si="1"/>
        <v>24</v>
      </c>
    </row>
    <row r="345">
      <c r="A345" s="146" t="s">
        <v>239</v>
      </c>
      <c r="B345" s="151">
        <f>S126</f>
        <v>9.833333333</v>
      </c>
      <c r="C345" s="151">
        <f>S130</f>
        <v>2</v>
      </c>
      <c r="D345" s="151">
        <f>S134</f>
        <v>4.166666667</v>
      </c>
      <c r="E345" s="151">
        <f>S138</f>
        <v>7.666666667</v>
      </c>
      <c r="F345" s="151">
        <f>S142</f>
        <v>0.3333333333</v>
      </c>
      <c r="G345" s="150">
        <f t="shared" si="1"/>
        <v>24</v>
      </c>
    </row>
    <row r="346">
      <c r="A346" s="146" t="s">
        <v>240</v>
      </c>
      <c r="B346" s="151">
        <f>AB126</f>
        <v>5</v>
      </c>
      <c r="C346" s="151">
        <f>AB130</f>
        <v>6.5</v>
      </c>
      <c r="D346" s="151">
        <f>AB134</f>
        <v>6.5</v>
      </c>
      <c r="E346" s="151">
        <f>AB138</f>
        <v>3.333333333</v>
      </c>
      <c r="F346" s="151">
        <f>AB142</f>
        <v>2.666666667</v>
      </c>
      <c r="G346" s="150">
        <f t="shared" si="1"/>
        <v>24</v>
      </c>
    </row>
    <row r="347">
      <c r="A347" s="146" t="s">
        <v>241</v>
      </c>
      <c r="B347" s="151">
        <f>A155</f>
        <v>11</v>
      </c>
      <c r="C347" s="151">
        <f>A159</f>
        <v>1.833333333</v>
      </c>
      <c r="D347" s="151">
        <f>A163</f>
        <v>4</v>
      </c>
      <c r="E347" s="151">
        <f>A167</f>
        <v>1.166666667</v>
      </c>
      <c r="F347" s="151">
        <f>A171</f>
        <v>6</v>
      </c>
      <c r="G347" s="150">
        <f t="shared" si="1"/>
        <v>24</v>
      </c>
    </row>
    <row r="348">
      <c r="A348" s="146" t="s">
        <v>242</v>
      </c>
      <c r="B348" s="151">
        <f>J155</f>
        <v>8.333333333</v>
      </c>
      <c r="C348" s="151">
        <f>J159</f>
        <v>2.333333333</v>
      </c>
      <c r="D348" s="151">
        <f>J163</f>
        <v>0</v>
      </c>
      <c r="E348" s="151">
        <f>J167</f>
        <v>2.333333333</v>
      </c>
      <c r="F348" s="151">
        <f>J171</f>
        <v>9</v>
      </c>
      <c r="G348" s="150">
        <f t="shared" si="1"/>
        <v>22</v>
      </c>
    </row>
    <row r="349">
      <c r="A349" s="148" t="s">
        <v>243</v>
      </c>
      <c r="B349" s="152">
        <f>S155</f>
        <v>0</v>
      </c>
      <c r="C349" s="152">
        <f>S159</f>
        <v>0</v>
      </c>
      <c r="D349" s="152">
        <f>S163</f>
        <v>0</v>
      </c>
      <c r="E349" s="152">
        <f>S167</f>
        <v>0</v>
      </c>
      <c r="F349" s="152">
        <f>S171</f>
        <v>0</v>
      </c>
      <c r="G349" s="153">
        <f t="shared" si="1"/>
        <v>0</v>
      </c>
    </row>
    <row r="350">
      <c r="A350" s="146" t="s">
        <v>244</v>
      </c>
      <c r="B350" s="151">
        <f>A185</f>
        <v>0</v>
      </c>
      <c r="C350" s="151">
        <f>A189</f>
        <v>0</v>
      </c>
      <c r="D350" s="151">
        <f>A193</f>
        <v>0</v>
      </c>
      <c r="E350" s="151">
        <f>A197</f>
        <v>0</v>
      </c>
      <c r="F350" s="151">
        <f>A201</f>
        <v>0</v>
      </c>
      <c r="G350" s="150">
        <f t="shared" si="1"/>
        <v>0</v>
      </c>
    </row>
    <row r="351">
      <c r="A351" s="146" t="s">
        <v>245</v>
      </c>
      <c r="B351" s="151">
        <f>J185</f>
        <v>0</v>
      </c>
      <c r="C351" s="151">
        <f>J189</f>
        <v>0</v>
      </c>
      <c r="D351" s="151">
        <f>J193</f>
        <v>0</v>
      </c>
      <c r="E351" s="151">
        <f>J197</f>
        <v>0</v>
      </c>
      <c r="F351" s="151">
        <f>J201</f>
        <v>0</v>
      </c>
      <c r="G351" s="150">
        <f t="shared" si="1"/>
        <v>0</v>
      </c>
    </row>
    <row r="352">
      <c r="A352" s="146" t="s">
        <v>246</v>
      </c>
      <c r="B352" s="151">
        <f>S185</f>
        <v>0</v>
      </c>
      <c r="C352" s="151">
        <f>S189</f>
        <v>0</v>
      </c>
      <c r="D352" s="151">
        <f>S193</f>
        <v>0</v>
      </c>
      <c r="E352" s="151">
        <f>S197</f>
        <v>0</v>
      </c>
      <c r="F352" s="151">
        <f>S201</f>
        <v>0</v>
      </c>
      <c r="G352" s="150">
        <f t="shared" si="1"/>
        <v>0</v>
      </c>
    </row>
    <row r="353">
      <c r="A353" s="146" t="s">
        <v>247</v>
      </c>
      <c r="B353" s="151">
        <f>AB185</f>
        <v>0</v>
      </c>
      <c r="C353" s="151">
        <f>AB189</f>
        <v>0</v>
      </c>
      <c r="D353" s="151">
        <f>AB193</f>
        <v>0</v>
      </c>
      <c r="E353" s="151">
        <f>AB197</f>
        <v>0</v>
      </c>
      <c r="F353" s="151">
        <f>AB201</f>
        <v>0</v>
      </c>
      <c r="G353" s="150">
        <f t="shared" si="1"/>
        <v>0</v>
      </c>
    </row>
    <row r="354">
      <c r="A354" s="146" t="s">
        <v>248</v>
      </c>
      <c r="B354" s="151">
        <f>A214</f>
        <v>0</v>
      </c>
      <c r="C354" s="151">
        <f>A218</f>
        <v>0</v>
      </c>
      <c r="D354" s="151">
        <f>A222</f>
        <v>0</v>
      </c>
      <c r="E354" s="151">
        <f>A226</f>
        <v>0</v>
      </c>
      <c r="F354" s="151">
        <f>A230</f>
        <v>0</v>
      </c>
      <c r="G354" s="150">
        <f t="shared" si="1"/>
        <v>0</v>
      </c>
    </row>
    <row r="355">
      <c r="A355" s="146" t="s">
        <v>249</v>
      </c>
      <c r="B355" s="151">
        <f>J214</f>
        <v>0</v>
      </c>
      <c r="C355" s="151">
        <f>J218</f>
        <v>0</v>
      </c>
      <c r="D355" s="151">
        <f>J222</f>
        <v>0</v>
      </c>
      <c r="E355" s="151">
        <f>J226</f>
        <v>0</v>
      </c>
      <c r="F355" s="151">
        <f>J230</f>
        <v>0</v>
      </c>
      <c r="G355" s="150">
        <f t="shared" si="1"/>
        <v>0</v>
      </c>
    </row>
    <row r="356">
      <c r="A356" s="148" t="s">
        <v>250</v>
      </c>
      <c r="B356" s="152">
        <f>S214</f>
        <v>0</v>
      </c>
      <c r="C356" s="152">
        <f>S218</f>
        <v>0</v>
      </c>
      <c r="D356" s="152">
        <f>S222</f>
        <v>0</v>
      </c>
      <c r="E356" s="152">
        <f>S226</f>
        <v>0</v>
      </c>
      <c r="F356" s="152">
        <f>S230</f>
        <v>0</v>
      </c>
      <c r="G356" s="153">
        <f t="shared" si="1"/>
        <v>0</v>
      </c>
    </row>
    <row r="357">
      <c r="A357" s="81" t="s">
        <v>251</v>
      </c>
      <c r="B357" s="147">
        <f t="shared" ref="B357:F357" si="2">SUM(B329:B356)</f>
        <v>175.8333333</v>
      </c>
      <c r="C357" s="147">
        <f t="shared" si="2"/>
        <v>44.16666667</v>
      </c>
      <c r="D357" s="147">
        <f t="shared" si="2"/>
        <v>59</v>
      </c>
      <c r="E357" s="147">
        <f t="shared" si="2"/>
        <v>88.66666667</v>
      </c>
      <c r="F357" s="147">
        <f t="shared" si="2"/>
        <v>110.3333333</v>
      </c>
    </row>
  </sheetData>
  <mergeCells count="42">
    <mergeCell ref="AC34:AD34"/>
    <mergeCell ref="AF34:AG34"/>
    <mergeCell ref="AC36:AD36"/>
    <mergeCell ref="AF36:AG36"/>
    <mergeCell ref="AC38:AD38"/>
    <mergeCell ref="AF38:AG38"/>
    <mergeCell ref="AF40:AG40"/>
    <mergeCell ref="AC40:AD40"/>
    <mergeCell ref="AC42:AD42"/>
    <mergeCell ref="AF42:AG42"/>
    <mergeCell ref="AC93:AD93"/>
    <mergeCell ref="AF93:AG93"/>
    <mergeCell ref="AC95:AD95"/>
    <mergeCell ref="AF95:AG95"/>
    <mergeCell ref="AC97:AD97"/>
    <mergeCell ref="AF97:AG97"/>
    <mergeCell ref="AC99:AD99"/>
    <mergeCell ref="AF99:AG99"/>
    <mergeCell ref="AC101:AD101"/>
    <mergeCell ref="AF101:AG101"/>
    <mergeCell ref="AF152:AG152"/>
    <mergeCell ref="AC160:AD160"/>
    <mergeCell ref="AF160:AG160"/>
    <mergeCell ref="A178:AI178"/>
    <mergeCell ref="AC152:AD152"/>
    <mergeCell ref="AC154:AD154"/>
    <mergeCell ref="AF154:AG154"/>
    <mergeCell ref="AC156:AD156"/>
    <mergeCell ref="AF156:AG156"/>
    <mergeCell ref="AC158:AD158"/>
    <mergeCell ref="AF158:AG158"/>
    <mergeCell ref="AC217:AD217"/>
    <mergeCell ref="AC219:AD219"/>
    <mergeCell ref="AF219:AG219"/>
    <mergeCell ref="A239:AI239"/>
    <mergeCell ref="AC211:AD211"/>
    <mergeCell ref="AF211:AG211"/>
    <mergeCell ref="AC213:AD213"/>
    <mergeCell ref="AF213:AG213"/>
    <mergeCell ref="AC215:AD215"/>
    <mergeCell ref="AF215:AG215"/>
    <mergeCell ref="AF217:AG217"/>
  </mergeCells>
  <conditionalFormatting sqref="C5:H28 L5:Q28 U5:Z28 AD5:AI28 C34:H57 L34:Q57 U34:Z57 C64:H87 L64:Q87 U64:Z87 AD64:AI87 C93:H116 L93:Q116 U93:Z116 C123:H146 L123:Q146 U123:Z146 AD123:AI146 C152:H175 L152:Q175 U152:Z175 C182:H205 L182:Q205 U182:Z205 AD182:AI205 C211:H234 L211:Q234 U211:Z234">
    <cfRule type="containsBlanks" dxfId="0" priority="1">
      <formula>LEN(TRIM(C5))=0</formula>
    </cfRule>
  </conditionalFormatting>
  <conditionalFormatting sqref="C5:H28 L5:Q28 U5:Z28 AD5:AI28 C34:H57 L34:Q57 U34:Z57 C64:H87 L64:Q87 U64:Z87 AD64:AI87 C93:H116 L93:Q116 U93:Z116 C123:H146 L123:Q146 U123:Z146 AD123:AI146 C152:H175 L152:Q175 U152:Z175 C182:H205 L182:Q205 U182:Z205 AD182:AI205 C211:H234 L211:Q234 U211:Z234">
    <cfRule type="cellIs" dxfId="1" priority="2" operator="equal">
      <formula>1</formula>
    </cfRule>
  </conditionalFormatting>
  <conditionalFormatting sqref="C5:H28 L5:Q28 U5:Z28 AD5:AI28 C34:H57 L34:Q57 U34:Z57 C64:H87 L64:Q87 U64:Z87 AD64:AI87 C93:H116 L93:Q116 U93:Z116 C123:H146 L123:Q146 U123:Z146 AD123:AI146 C152:H175 L152:Q175 U152:Z175 C182:H205 L182:Q205 U182:Z205 AD182:AI205 C211:H234 L211:Q234 U211:Z234">
    <cfRule type="cellIs" dxfId="2" priority="3" operator="equal">
      <formula>2</formula>
    </cfRule>
  </conditionalFormatting>
  <conditionalFormatting sqref="C5:H28 L5:Q28 U5:Z28 AD5:AI28 C34:H57 L34:Q57 U34:Z57 C64:H87 L64:Q87 U64:Z87 AD64:AI87 C93:H116 L93:Q116 U93:Z116 C123:H146 L123:Q146 U123:Z146 AD123:AI146 C152:H175 L152:Q175 U152:Z175 C182:H205 L182:Q205 U182:Z205 AD182:AI205 C211:H234 L211:Q234 U211:Z234">
    <cfRule type="cellIs" dxfId="3" priority="4" operator="equal">
      <formula>3</formula>
    </cfRule>
  </conditionalFormatting>
  <conditionalFormatting sqref="C5:H28 L5:Q28 U5:Z28 AD5:AI28 C34:H57 L34:Q57 U34:Z57 C64:H87 L64:Q87 U64:Z87 AD64:AI87 C93:H116 L93:Q116 U93:Z116 C123:H146 L123:Q146 U123:Z146 AD123:AI146 C152:H175 L152:Q175 U152:Z175 C182:H205 L182:Q205 U182:Z205 AD182:AI205 C211:H234 L211:Q234 U211:Z234">
    <cfRule type="cellIs" dxfId="4" priority="5" operator="equal">
      <formula>4</formula>
    </cfRule>
  </conditionalFormatting>
  <conditionalFormatting sqref="C5:H28 L5:Q28 U5:Z28 AD5:AI28 C34:H57 L34:Q57 U34:Z57 C64:H87 L64:Q87 U64:Z87 AD64:AI87 C93:H116 L93:Q116 U93:Z116 C123:H146 L123:Q146 U123:Z146 AD123:AI146 C152:H175 L152:Q175 U152:Z175 C182:H205 L182:Q205 U182:Z205 AD182:AI205 C211:H234 L211:Q234 U211:Z234">
    <cfRule type="cellIs" dxfId="5" priority="6" operator="notBetween">
      <formula>1</formula>
      <formula>5</formula>
    </cfRule>
  </conditionalFormatting>
  <conditionalFormatting sqref="X5 AG5 F34 O34 X34 F64 O64 X64 AG64 F93 O93 X93 F123 O123 X123 AG123 F152 O152 X152 F182 O182 X182 AG182 F211 O211 X211">
    <cfRule type="cellIs" dxfId="6" priority="7" operator="notBetween">
      <formula>1</formula>
      <formula>5</formula>
    </cfRule>
  </conditionalFormatting>
  <conditionalFormatting sqref="A29 J29 S29 AB29 A58 J58 S58 A88 J88 S88 AB88 S117 J117 A117 A147 J147 S147 AB147 A176 J176 S176 A206 J206 S206 AB206 A235 J235 S235">
    <cfRule type="cellIs" dxfId="7" priority="8" operator="equal">
      <formula>24</formula>
    </cfRule>
  </conditionalFormatting>
  <conditionalFormatting sqref="A29 J29 S29 AB29 A58 J58 S58 A88 J88 S88 AB88 S117 J117 A117 A147 J147 S147 AB147 A176 J176 S176 A206 J206 S206 AB206 A235 J235 S235">
    <cfRule type="cellIs" dxfId="8" priority="9" operator="lessThan">
      <formula>24</formula>
    </cfRule>
  </conditionalFormatting>
  <conditionalFormatting sqref="A29 J29 S29 AB29 A58 J58 S58 A88 J88 S88 AB88 S117 J117 A117 A147 J147 S147 AB147 A176 J176 S176 A206 J206 S206 AB206 A235 J235 S235">
    <cfRule type="cellIs" dxfId="5" priority="10" operator="greaterThan">
      <formula>24</formula>
    </cfRule>
  </conditionalFormatting>
  <conditionalFormatting sqref="D3:H3 M3:Q3 V3:Z3 AE3:AI3 C5:H28 L5:Q28 U5:Z28 AG5:AI28 AD6:AF28 D32:H32 M32:Q32 V32:Z32 E34:H57 L34:Q57 U34:Z57 C35:D57 D62:H62 M62:Q62 V62:Z62 AE62:AI62 C64:H87 L64:Q87 U64:Z87 AD64:AI87 D91:H91 M91:Q91 V91:Z91 C93:H116 L93:Q116 U93:Z116 D121:H121 M121:Q121 V121:Z121 AE121:AI121 C123:H146 L123:Q146 U123:Z146 AD123:AI146 D150:H150 M150:Q150 V150:Z150 C152:H175 L152:N173 O152:O159 P152:Q173 O161:O173">
    <cfRule type="cellIs" dxfId="9" priority="11" operator="equal">
      <formula>1</formula>
    </cfRule>
  </conditionalFormatting>
  <conditionalFormatting sqref="D3:H3 M3:Q3 V3:Z3 AE3:AI3 C5:H28 L5:Q28 U5:Z28 AG5:AI28 AD6:AF28 D32:H32 M32:Q32 V32:Z32 E34:H57 L34:Q57 U34:Z57 C35:D57 D62:H62 M62:Q62 V62:Z62 AE62:AI62 C64:H87 L64:Q87 U64:Z87 AD64:AI87 D91:H91 M91:Q91 V91:Z91 C93:H116 L93:Q116 U93:Z116 D121:H121 M121:Q121 V121:Z121 AE121:AI121 C123:H146 L123:Q146 U123:Z146 AD123:AI146 D150:H150 M150:Q150 V150:Z150 C152:H175 L152:N173 O152:O159 P152:Q173 O161:O173">
    <cfRule type="cellIs" dxfId="10" priority="12" operator="equal">
      <formula>2</formula>
    </cfRule>
  </conditionalFormatting>
  <conditionalFormatting sqref="D3:H3 M3:Q3 V3:Z3 AE3:AI3 C5:H28 L5:Q28 U5:Z28 AG5:AI28 AD6:AF28 D32:H32 M32:Q32 V32:Z32 E34:H57 L34:Q57 U34:Z57 C35:D57 D62:H62 M62:Q62 V62:Z62 AE62:AI62 C64:H87 L64:Q87 U64:Z87 AD64:AI87 D91:H91 M91:Q91 V91:Z91 C93:H116 L93:Q116 U93:Z116 D121:H121 M121:Q121 V121:Z121 AE121:AI121 C123:H146 L123:Q146 U123:Z146 AD123:AI146 D150:H150 M150:Q150 V150:Z150 C152:H175 L152:N173 O152:O159 P152:Q173 O161:O173">
    <cfRule type="cellIs" dxfId="11" priority="13" operator="equal">
      <formula>3</formula>
    </cfRule>
  </conditionalFormatting>
  <conditionalFormatting sqref="D3:H3 M3:Q3 V3:Z3 AE3:AI3 C5:H28 L5:Q28 U5:Z28 AG5:AI28 AD6:AF28 D32:H32 M32:Q32 V32:Z32 E34:H57 L34:Q57 U34:Z57 C35:D57 D62:H62 M62:Q62 V62:Z62 AE62:AI62 C64:H87 L64:Q87 U64:Z87 AD64:AI87 D91:H91 M91:Q91 V91:Z91 C93:H116 L93:Q116 U93:Z116 D121:H121 M121:Q121 V121:Z121 AE121:AI121 C123:H146 L123:Q146 U123:Z146 AD123:AI146 D150:H150 M150:Q150 V150:Z150 C152:H175 L152:N173 O152:O159 P152:Q173 O161:O173">
    <cfRule type="cellIs" dxfId="12" priority="14" operator="equal">
      <formula>4</formula>
    </cfRule>
  </conditionalFormatting>
  <conditionalFormatting sqref="D3:H3 M3:Q3 V3:Z3 AE3:AI3 C5:H28 L5:Q28 U5:Z28 AG5:AI28 AD6:AF28 D32:H32 M32:Q32 V32:Z32 E34:H57 L34:Q57 U34:Z57 C35:D57 D62:H62 M62:Q62 V62:Z62 AE62:AI62 C64:H87 L64:Q87 U64:Z87 AD64:AI87 D91:H91 M91:Q91 V91:Z91 C93:H116 L93:Q116 U93:Z116 D121:H121 M121:Q121 V121:Z121 AE121:AI121 C123:H146 L123:Q146 U123:Z146 AD123:AI146 D150:H150 M150:Q150 V150:Z150 C152:H175 L152:N173 O152:O159 P152:Q173 O161:O173">
    <cfRule type="cellIs" dxfId="13" priority="15" operator="equal">
      <formula>5</formula>
    </cfRule>
  </conditionalFormatting>
  <conditionalFormatting sqref="D3:H3 M3:Q3 V3:Z3 AE3:AI3 C5:H28 L5:Q28 U5:Z28 AG5:AI28 AD6:AF28 D32:H32 M32:Q32 V32:Z32 E34:H57 L34:Q57 U34:Z57 C35:D57 D62:H62 M62:Q62 V62:Z62 AE62:AI62 C64:H87 L64:Q87 U64:Z87 AD64:AI87 D91:H91 M91:Q91 V91:Z91 C93:H116 L93:Q116 U93:Z116 D121:H121 M121:Q121 V121:Z121 AE121:AI121 C123:H146 L123:Q146 U123:Z146 AD123:AI146 D150:H150 M150:Q150 V150:Z150 C152:H175 L152:N173 O152:O159 P152:Q173 O161:O173">
    <cfRule type="containsBlanks" dxfId="14" priority="16">
      <formula>LEN(TRIM(D3))=0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8" width="3.88"/>
    <col customWidth="1" min="9" max="9" width="6.38"/>
    <col customWidth="1" min="10" max="10" width="37.63"/>
    <col customWidth="1" min="11" max="17" width="3.88"/>
    <col customWidth="1" min="18" max="18" width="6.38"/>
    <col customWidth="1" min="19" max="19" width="37.63"/>
    <col customWidth="1" min="20" max="26" width="3.88"/>
    <col customWidth="1" min="27" max="27" width="6.38"/>
    <col customWidth="1" min="28" max="28" width="37.63"/>
    <col customWidth="1" min="29" max="35" width="3.88"/>
    <col customWidth="1" min="36" max="36" width="6.38"/>
  </cols>
  <sheetData>
    <row r="1">
      <c r="A1" s="15" t="s">
        <v>90</v>
      </c>
      <c r="B1" s="16"/>
      <c r="C1" s="16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8"/>
    </row>
    <row r="2">
      <c r="A2" s="19"/>
      <c r="J2" s="20"/>
      <c r="S2" s="21"/>
      <c r="AB2" s="21"/>
      <c r="AI2" s="22"/>
    </row>
    <row r="3">
      <c r="A3" s="70" t="s">
        <v>94</v>
      </c>
      <c r="B3" s="72" t="s">
        <v>16</v>
      </c>
      <c r="C3" s="73"/>
      <c r="D3" s="26">
        <v>1.0</v>
      </c>
      <c r="E3" s="27">
        <v>2.0</v>
      </c>
      <c r="F3" s="28">
        <v>3.0</v>
      </c>
      <c r="G3" s="74">
        <v>4.0</v>
      </c>
      <c r="H3" s="75">
        <v>5.0</v>
      </c>
      <c r="J3" s="70" t="s">
        <v>95</v>
      </c>
      <c r="K3" s="72" t="s">
        <v>16</v>
      </c>
      <c r="L3" s="73"/>
      <c r="M3" s="26">
        <v>1.0</v>
      </c>
      <c r="N3" s="27">
        <v>2.0</v>
      </c>
      <c r="O3" s="28">
        <v>3.0</v>
      </c>
      <c r="P3" s="74">
        <v>4.0</v>
      </c>
      <c r="Q3" s="75">
        <v>5.0</v>
      </c>
      <c r="S3" s="70" t="s">
        <v>96</v>
      </c>
      <c r="T3" s="72" t="s">
        <v>16</v>
      </c>
      <c r="U3" s="73"/>
      <c r="V3" s="76">
        <v>1.0</v>
      </c>
      <c r="W3" s="27">
        <v>2.0</v>
      </c>
      <c r="X3" s="28">
        <v>3.0</v>
      </c>
      <c r="Y3" s="74">
        <v>4.0</v>
      </c>
      <c r="Z3" s="75">
        <v>5.0</v>
      </c>
      <c r="AB3" s="70" t="s">
        <v>97</v>
      </c>
      <c r="AC3" s="72" t="s">
        <v>16</v>
      </c>
      <c r="AD3" s="73"/>
      <c r="AE3" s="76">
        <v>1.0</v>
      </c>
      <c r="AF3" s="27">
        <v>2.0</v>
      </c>
      <c r="AG3" s="28">
        <v>3.0</v>
      </c>
      <c r="AH3" s="74">
        <v>4.0</v>
      </c>
      <c r="AI3" s="75">
        <v>5.0</v>
      </c>
    </row>
    <row r="4">
      <c r="A4" s="77" t="s">
        <v>20</v>
      </c>
      <c r="B4" s="78" t="s">
        <v>21</v>
      </c>
      <c r="C4" s="78" t="s">
        <v>22</v>
      </c>
      <c r="D4" s="78" t="s">
        <v>23</v>
      </c>
      <c r="E4" s="78" t="s">
        <v>24</v>
      </c>
      <c r="F4" s="78" t="s">
        <v>25</v>
      </c>
      <c r="G4" s="78" t="s">
        <v>26</v>
      </c>
      <c r="H4" s="78" t="s">
        <v>27</v>
      </c>
      <c r="J4" s="77" t="s">
        <v>20</v>
      </c>
      <c r="K4" s="78" t="s">
        <v>21</v>
      </c>
      <c r="L4" s="78" t="s">
        <v>22</v>
      </c>
      <c r="M4" s="78" t="s">
        <v>23</v>
      </c>
      <c r="N4" s="78" t="s">
        <v>24</v>
      </c>
      <c r="O4" s="78" t="s">
        <v>25</v>
      </c>
      <c r="P4" s="78" t="s">
        <v>26</v>
      </c>
      <c r="Q4" s="78" t="s">
        <v>27</v>
      </c>
      <c r="S4" s="77" t="s">
        <v>20</v>
      </c>
      <c r="T4" s="78" t="s">
        <v>21</v>
      </c>
      <c r="U4" s="78" t="s">
        <v>22</v>
      </c>
      <c r="V4" s="78" t="s">
        <v>23</v>
      </c>
      <c r="W4" s="78" t="s">
        <v>24</v>
      </c>
      <c r="X4" s="78" t="s">
        <v>25</v>
      </c>
      <c r="Y4" s="78" t="s">
        <v>26</v>
      </c>
      <c r="Z4" s="78" t="s">
        <v>27</v>
      </c>
      <c r="AB4" s="77" t="s">
        <v>20</v>
      </c>
      <c r="AC4" s="78" t="s">
        <v>21</v>
      </c>
      <c r="AD4" s="78" t="s">
        <v>22</v>
      </c>
      <c r="AE4" s="78" t="s">
        <v>23</v>
      </c>
      <c r="AF4" s="78" t="s">
        <v>24</v>
      </c>
      <c r="AG4" s="78" t="s">
        <v>25</v>
      </c>
      <c r="AH4" s="78" t="s">
        <v>26</v>
      </c>
      <c r="AI4" s="78" t="s">
        <v>27</v>
      </c>
    </row>
    <row r="5">
      <c r="A5" s="33" t="s">
        <v>28</v>
      </c>
      <c r="B5" s="34" t="s">
        <v>21</v>
      </c>
      <c r="C5" s="28">
        <v>3.0</v>
      </c>
      <c r="D5" s="28">
        <v>3.0</v>
      </c>
      <c r="E5" s="28">
        <v>3.0</v>
      </c>
      <c r="F5" s="28">
        <v>3.0</v>
      </c>
      <c r="G5" s="28">
        <v>3.0</v>
      </c>
      <c r="H5" s="28">
        <v>3.0</v>
      </c>
      <c r="J5" s="33" t="s">
        <v>28</v>
      </c>
      <c r="K5" s="34" t="s">
        <v>21</v>
      </c>
      <c r="L5" s="75">
        <v>5.0</v>
      </c>
      <c r="M5" s="75">
        <v>5.0</v>
      </c>
      <c r="N5" s="75">
        <v>5.0</v>
      </c>
      <c r="O5" s="75">
        <v>5.0</v>
      </c>
      <c r="P5" s="75">
        <v>5.0</v>
      </c>
      <c r="Q5" s="75">
        <v>5.0</v>
      </c>
      <c r="S5" s="35" t="s">
        <v>28</v>
      </c>
      <c r="T5" s="34" t="s">
        <v>21</v>
      </c>
      <c r="U5" s="79"/>
      <c r="V5" s="79"/>
      <c r="W5" s="79"/>
      <c r="X5" s="79"/>
      <c r="Y5" s="79"/>
      <c r="Z5" s="79"/>
      <c r="AB5" s="35" t="s">
        <v>28</v>
      </c>
      <c r="AC5" s="34" t="s">
        <v>21</v>
      </c>
      <c r="AD5" s="75">
        <v>5.0</v>
      </c>
      <c r="AE5" s="75">
        <v>5.0</v>
      </c>
      <c r="AF5" s="75">
        <v>5.0</v>
      </c>
      <c r="AG5" s="75">
        <v>5.0</v>
      </c>
      <c r="AH5" s="75">
        <v>5.0</v>
      </c>
      <c r="AI5" s="75">
        <v>5.0</v>
      </c>
    </row>
    <row r="6">
      <c r="A6" s="36" t="s">
        <v>100</v>
      </c>
      <c r="B6" s="34" t="s">
        <v>30</v>
      </c>
      <c r="C6" s="28">
        <v>3.0</v>
      </c>
      <c r="D6" s="28">
        <v>3.0</v>
      </c>
      <c r="E6" s="76">
        <v>1.0</v>
      </c>
      <c r="F6" s="26">
        <v>1.0</v>
      </c>
      <c r="G6" s="26">
        <v>1.0</v>
      </c>
      <c r="H6" s="26">
        <v>1.0</v>
      </c>
      <c r="I6" s="81" t="s">
        <v>31</v>
      </c>
      <c r="J6" s="36" t="s">
        <v>101</v>
      </c>
      <c r="K6" s="34" t="s">
        <v>30</v>
      </c>
      <c r="L6" s="28">
        <v>3.0</v>
      </c>
      <c r="M6" s="28">
        <v>3.0</v>
      </c>
      <c r="N6" s="28">
        <v>3.0</v>
      </c>
      <c r="O6" s="28">
        <v>3.0</v>
      </c>
      <c r="P6" s="28">
        <v>3.0</v>
      </c>
      <c r="Q6" s="26">
        <v>1.0</v>
      </c>
      <c r="S6" s="38"/>
      <c r="T6" s="34" t="s">
        <v>30</v>
      </c>
      <c r="U6" s="79"/>
      <c r="V6" s="79"/>
      <c r="W6" s="79"/>
      <c r="X6" s="79"/>
      <c r="Y6" s="79"/>
      <c r="Z6" s="79"/>
      <c r="AB6" s="38"/>
      <c r="AC6" s="34" t="s">
        <v>30</v>
      </c>
      <c r="AD6" s="79"/>
      <c r="AE6" s="79"/>
      <c r="AF6" s="79"/>
      <c r="AG6" s="79"/>
      <c r="AH6" s="79"/>
      <c r="AI6" s="79"/>
    </row>
    <row r="7">
      <c r="A7" s="39"/>
      <c r="B7" s="40" t="s">
        <v>33</v>
      </c>
      <c r="C7" s="76">
        <v>1.0</v>
      </c>
      <c r="D7" s="76">
        <v>1.0</v>
      </c>
      <c r="E7" s="76">
        <v>1.0</v>
      </c>
      <c r="F7" s="26">
        <v>1.0</v>
      </c>
      <c r="G7" s="26">
        <v>1.0</v>
      </c>
      <c r="H7" s="26">
        <v>1.0</v>
      </c>
      <c r="J7" s="39"/>
      <c r="K7" s="40" t="s">
        <v>33</v>
      </c>
      <c r="L7" s="26">
        <v>1.0</v>
      </c>
      <c r="M7" s="26">
        <v>1.0</v>
      </c>
      <c r="N7" s="26">
        <v>1.0</v>
      </c>
      <c r="O7" s="26">
        <v>1.0</v>
      </c>
      <c r="P7" s="26">
        <v>1.0</v>
      </c>
      <c r="Q7" s="26">
        <v>1.0</v>
      </c>
      <c r="S7" s="39"/>
      <c r="T7" s="40" t="s">
        <v>33</v>
      </c>
      <c r="U7" s="79"/>
      <c r="V7" s="79"/>
      <c r="W7" s="79"/>
      <c r="X7" s="79"/>
      <c r="Y7" s="79"/>
      <c r="Z7" s="79"/>
      <c r="AB7" s="39"/>
      <c r="AC7" s="40" t="s">
        <v>33</v>
      </c>
      <c r="AD7" s="79"/>
      <c r="AE7" s="79"/>
      <c r="AF7" s="79"/>
      <c r="AG7" s="79"/>
      <c r="AH7" s="79"/>
      <c r="AI7" s="79"/>
    </row>
    <row r="8">
      <c r="A8" s="41">
        <f>COUNTIF(C5:H28,"=1")/6</f>
        <v>8</v>
      </c>
      <c r="B8" s="40" t="s">
        <v>34</v>
      </c>
      <c r="C8" s="76">
        <v>1.0</v>
      </c>
      <c r="D8" s="76">
        <v>1.0</v>
      </c>
      <c r="E8" s="76">
        <v>1.0</v>
      </c>
      <c r="F8" s="26">
        <v>1.0</v>
      </c>
      <c r="G8" s="26">
        <v>1.0</v>
      </c>
      <c r="H8" s="26">
        <v>1.0</v>
      </c>
      <c r="J8" s="41">
        <f>COUNTIF(L5:Q28,"=1")/6</f>
        <v>9.166666667</v>
      </c>
      <c r="K8" s="40" t="s">
        <v>34</v>
      </c>
      <c r="L8" s="26">
        <v>1.0</v>
      </c>
      <c r="M8" s="26">
        <v>1.0</v>
      </c>
      <c r="N8" s="26">
        <v>1.0</v>
      </c>
      <c r="O8" s="26">
        <v>1.0</v>
      </c>
      <c r="P8" s="26">
        <v>1.0</v>
      </c>
      <c r="Q8" s="26">
        <v>1.0</v>
      </c>
      <c r="S8" s="41">
        <f>COUNTIF(U5:Z28,"=1")/6</f>
        <v>0</v>
      </c>
      <c r="T8" s="40" t="s">
        <v>34</v>
      </c>
      <c r="U8" s="79"/>
      <c r="V8" s="79"/>
      <c r="W8" s="79"/>
      <c r="X8" s="79"/>
      <c r="Y8" s="79"/>
      <c r="Z8" s="79"/>
      <c r="AB8" s="41">
        <f>COUNTIF(AD5:AI28,"=1")/6</f>
        <v>0</v>
      </c>
      <c r="AC8" s="40" t="s">
        <v>34</v>
      </c>
      <c r="AD8" s="79"/>
      <c r="AE8" s="79"/>
      <c r="AF8" s="79"/>
      <c r="AG8" s="79"/>
      <c r="AH8" s="79"/>
      <c r="AI8" s="79"/>
    </row>
    <row r="9">
      <c r="A9" s="42" t="s">
        <v>35</v>
      </c>
      <c r="B9" s="40" t="s">
        <v>36</v>
      </c>
      <c r="C9" s="76">
        <v>1.0</v>
      </c>
      <c r="D9" s="76">
        <v>1.0</v>
      </c>
      <c r="E9" s="76">
        <v>1.0</v>
      </c>
      <c r="F9" s="26">
        <v>1.0</v>
      </c>
      <c r="G9" s="26">
        <v>1.0</v>
      </c>
      <c r="H9" s="26">
        <v>1.0</v>
      </c>
      <c r="J9" s="42" t="s">
        <v>35</v>
      </c>
      <c r="K9" s="40" t="s">
        <v>36</v>
      </c>
      <c r="L9" s="26">
        <v>1.0</v>
      </c>
      <c r="M9" s="26">
        <v>1.0</v>
      </c>
      <c r="N9" s="26">
        <v>1.0</v>
      </c>
      <c r="O9" s="26">
        <v>1.0</v>
      </c>
      <c r="P9" s="26">
        <v>1.0</v>
      </c>
      <c r="Q9" s="26">
        <v>1.0</v>
      </c>
      <c r="S9" s="42" t="s">
        <v>35</v>
      </c>
      <c r="T9" s="40" t="s">
        <v>36</v>
      </c>
      <c r="U9" s="79"/>
      <c r="V9" s="79"/>
      <c r="W9" s="79"/>
      <c r="X9" s="79"/>
      <c r="Y9" s="79"/>
      <c r="Z9" s="79"/>
      <c r="AB9" s="42" t="s">
        <v>35</v>
      </c>
      <c r="AC9" s="40" t="s">
        <v>36</v>
      </c>
      <c r="AD9" s="79"/>
      <c r="AE9" s="79"/>
      <c r="AF9" s="79"/>
      <c r="AG9" s="79"/>
      <c r="AH9" s="79"/>
      <c r="AI9" s="79"/>
    </row>
    <row r="10">
      <c r="A10" s="36" t="s">
        <v>108</v>
      </c>
      <c r="B10" s="34" t="s">
        <v>38</v>
      </c>
      <c r="C10" s="76">
        <v>1.0</v>
      </c>
      <c r="D10" s="76">
        <v>1.0</v>
      </c>
      <c r="E10" s="76">
        <v>1.0</v>
      </c>
      <c r="F10" s="26">
        <v>1.0</v>
      </c>
      <c r="G10" s="26">
        <v>1.0</v>
      </c>
      <c r="H10" s="26">
        <v>1.0</v>
      </c>
      <c r="J10" s="36" t="s">
        <v>109</v>
      </c>
      <c r="K10" s="34" t="s">
        <v>38</v>
      </c>
      <c r="L10" s="26">
        <v>1.0</v>
      </c>
      <c r="M10" s="26">
        <v>1.0</v>
      </c>
      <c r="N10" s="26">
        <v>1.0</v>
      </c>
      <c r="O10" s="26">
        <v>1.0</v>
      </c>
      <c r="P10" s="26">
        <v>1.0</v>
      </c>
      <c r="Q10" s="26">
        <v>1.0</v>
      </c>
      <c r="S10" s="68"/>
      <c r="T10" s="34" t="s">
        <v>38</v>
      </c>
      <c r="U10" s="79"/>
      <c r="V10" s="79"/>
      <c r="W10" s="79"/>
      <c r="X10" s="79"/>
      <c r="Y10" s="84"/>
      <c r="Z10" s="79"/>
      <c r="AB10" s="68"/>
      <c r="AC10" s="34" t="s">
        <v>38</v>
      </c>
      <c r="AD10" s="79"/>
      <c r="AE10" s="79"/>
      <c r="AF10" s="79"/>
      <c r="AG10" s="79"/>
      <c r="AH10" s="84"/>
      <c r="AI10" s="79"/>
    </row>
    <row r="11">
      <c r="A11" s="39"/>
      <c r="B11" s="40" t="s">
        <v>42</v>
      </c>
      <c r="C11" s="76">
        <v>1.0</v>
      </c>
      <c r="D11" s="76">
        <v>1.0</v>
      </c>
      <c r="E11" s="76">
        <v>1.0</v>
      </c>
      <c r="F11" s="26">
        <v>1.0</v>
      </c>
      <c r="G11" s="26">
        <v>1.0</v>
      </c>
      <c r="H11" s="26">
        <v>1.0</v>
      </c>
      <c r="J11" s="39"/>
      <c r="K11" s="40" t="s">
        <v>42</v>
      </c>
      <c r="L11" s="26">
        <v>1.0</v>
      </c>
      <c r="M11" s="26">
        <v>1.0</v>
      </c>
      <c r="N11" s="26">
        <v>1.0</v>
      </c>
      <c r="O11" s="26">
        <v>1.0</v>
      </c>
      <c r="P11" s="26">
        <v>1.0</v>
      </c>
      <c r="Q11" s="26">
        <v>1.0</v>
      </c>
      <c r="S11" s="39"/>
      <c r="T11" s="40" t="s">
        <v>42</v>
      </c>
      <c r="U11" s="79"/>
      <c r="V11" s="79"/>
      <c r="W11" s="79"/>
      <c r="X11" s="79"/>
      <c r="Y11" s="79"/>
      <c r="Z11" s="79"/>
      <c r="AB11" s="39"/>
      <c r="AC11" s="40" t="s">
        <v>42</v>
      </c>
      <c r="AD11" s="79"/>
      <c r="AE11" s="79"/>
      <c r="AF11" s="79"/>
      <c r="AG11" s="79"/>
      <c r="AH11" s="79"/>
      <c r="AI11" s="79"/>
    </row>
    <row r="12">
      <c r="A12" s="41">
        <f>COUNTIF(C5:H28,"=2")/6</f>
        <v>1.833333333</v>
      </c>
      <c r="B12" s="40" t="s">
        <v>43</v>
      </c>
      <c r="C12" s="76">
        <v>1.0</v>
      </c>
      <c r="D12" s="76">
        <v>1.0</v>
      </c>
      <c r="E12" s="76">
        <v>1.0</v>
      </c>
      <c r="F12" s="26">
        <v>1.0</v>
      </c>
      <c r="G12" s="26">
        <v>1.0</v>
      </c>
      <c r="H12" s="26">
        <v>1.0</v>
      </c>
      <c r="J12" s="41">
        <f>COUNTIF(L5:Q28,"=2")/6</f>
        <v>1.5</v>
      </c>
      <c r="K12" s="40" t="s">
        <v>43</v>
      </c>
      <c r="L12" s="26">
        <v>1.0</v>
      </c>
      <c r="M12" s="26">
        <v>1.0</v>
      </c>
      <c r="N12" s="26">
        <v>1.0</v>
      </c>
      <c r="O12" s="26">
        <v>1.0</v>
      </c>
      <c r="P12" s="26">
        <v>1.0</v>
      </c>
      <c r="Q12" s="26">
        <v>1.0</v>
      </c>
      <c r="S12" s="41">
        <f>COUNTIF(U5:Z28,"=2")/6</f>
        <v>0</v>
      </c>
      <c r="T12" s="40" t="s">
        <v>43</v>
      </c>
      <c r="U12" s="79"/>
      <c r="V12" s="79"/>
      <c r="W12" s="79"/>
      <c r="X12" s="79"/>
      <c r="Y12" s="79"/>
      <c r="Z12" s="79"/>
      <c r="AB12" s="41">
        <f>COUNTIF(AD5:AI28,"=2")/6</f>
        <v>0</v>
      </c>
      <c r="AC12" s="40" t="s">
        <v>43</v>
      </c>
      <c r="AD12" s="79"/>
      <c r="AE12" s="79"/>
      <c r="AF12" s="79"/>
      <c r="AG12" s="79"/>
      <c r="AH12" s="79"/>
      <c r="AI12" s="79"/>
    </row>
    <row r="13">
      <c r="A13" s="44" t="s">
        <v>44</v>
      </c>
      <c r="B13" s="40" t="s">
        <v>45</v>
      </c>
      <c r="C13" s="76">
        <v>1.0</v>
      </c>
      <c r="D13" s="76">
        <v>1.0</v>
      </c>
      <c r="E13" s="76">
        <v>1.0</v>
      </c>
      <c r="F13" s="26">
        <v>1.0</v>
      </c>
      <c r="G13" s="26">
        <v>1.0</v>
      </c>
      <c r="H13" s="26">
        <v>1.0</v>
      </c>
      <c r="J13" s="44" t="s">
        <v>44</v>
      </c>
      <c r="K13" s="40" t="s">
        <v>45</v>
      </c>
      <c r="L13" s="26">
        <v>1.0</v>
      </c>
      <c r="M13" s="26">
        <v>1.0</v>
      </c>
      <c r="N13" s="26">
        <v>1.0</v>
      </c>
      <c r="O13" s="26">
        <v>1.0</v>
      </c>
      <c r="P13" s="26">
        <v>1.0</v>
      </c>
      <c r="Q13" s="26">
        <v>1.0</v>
      </c>
      <c r="S13" s="44" t="s">
        <v>44</v>
      </c>
      <c r="T13" s="40" t="s">
        <v>45</v>
      </c>
      <c r="U13" s="79"/>
      <c r="V13" s="79"/>
      <c r="W13" s="79"/>
      <c r="X13" s="79"/>
      <c r="Y13" s="79"/>
      <c r="Z13" s="79"/>
      <c r="AB13" s="44" t="s">
        <v>44</v>
      </c>
      <c r="AC13" s="40" t="s">
        <v>45</v>
      </c>
      <c r="AD13" s="79"/>
      <c r="AE13" s="79"/>
      <c r="AF13" s="79"/>
      <c r="AG13" s="79"/>
      <c r="AH13" s="79"/>
      <c r="AI13" s="79"/>
    </row>
    <row r="14">
      <c r="A14" s="36" t="s">
        <v>115</v>
      </c>
      <c r="B14" s="34" t="s">
        <v>47</v>
      </c>
      <c r="C14" s="76">
        <v>1.0</v>
      </c>
      <c r="D14" s="76">
        <v>1.0</v>
      </c>
      <c r="E14" s="28">
        <v>3.0</v>
      </c>
      <c r="F14" s="28">
        <v>3.0</v>
      </c>
      <c r="G14" s="28">
        <v>3.0</v>
      </c>
      <c r="H14" s="27">
        <v>2.0</v>
      </c>
      <c r="J14" s="36" t="s">
        <v>116</v>
      </c>
      <c r="K14" s="34" t="s">
        <v>47</v>
      </c>
      <c r="L14" s="26">
        <v>1.0</v>
      </c>
      <c r="M14" s="26">
        <v>1.0</v>
      </c>
      <c r="N14" s="26">
        <v>1.0</v>
      </c>
      <c r="O14" s="26">
        <v>1.0</v>
      </c>
      <c r="P14" s="26">
        <v>1.0</v>
      </c>
      <c r="Q14" s="26">
        <v>1.0</v>
      </c>
      <c r="S14" s="38"/>
      <c r="T14" s="34" t="s">
        <v>47</v>
      </c>
      <c r="U14" s="79"/>
      <c r="V14" s="79"/>
      <c r="W14" s="79"/>
      <c r="X14" s="79"/>
      <c r="Y14" s="79"/>
      <c r="Z14" s="79"/>
      <c r="AB14" s="38"/>
      <c r="AC14" s="34" t="s">
        <v>47</v>
      </c>
      <c r="AD14" s="79"/>
      <c r="AE14" s="79"/>
      <c r="AF14" s="79"/>
      <c r="AG14" s="79"/>
      <c r="AH14" s="79"/>
      <c r="AI14" s="79"/>
    </row>
    <row r="15">
      <c r="A15" s="39"/>
      <c r="B15" s="40" t="s">
        <v>22</v>
      </c>
      <c r="C15" s="74">
        <v>4.0</v>
      </c>
      <c r="D15" s="74">
        <v>4.0</v>
      </c>
      <c r="E15" s="74">
        <v>4.0</v>
      </c>
      <c r="F15" s="74">
        <v>4.0</v>
      </c>
      <c r="G15" s="27">
        <v>2.0</v>
      </c>
      <c r="H15" s="28">
        <v>3.0</v>
      </c>
      <c r="J15" s="39"/>
      <c r="K15" s="40" t="s">
        <v>22</v>
      </c>
      <c r="L15" s="26">
        <v>1.0</v>
      </c>
      <c r="M15" s="26">
        <v>1.0</v>
      </c>
      <c r="N15" s="26">
        <v>1.0</v>
      </c>
      <c r="O15" s="26">
        <v>1.0</v>
      </c>
      <c r="P15" s="26">
        <v>1.0</v>
      </c>
      <c r="Q15" s="26">
        <v>1.0</v>
      </c>
      <c r="S15" s="39"/>
      <c r="T15" s="40" t="s">
        <v>22</v>
      </c>
      <c r="U15" s="79"/>
      <c r="V15" s="79"/>
      <c r="W15" s="79"/>
      <c r="X15" s="79"/>
      <c r="Y15" s="79"/>
      <c r="Z15" s="79"/>
      <c r="AB15" s="39"/>
      <c r="AC15" s="40" t="s">
        <v>22</v>
      </c>
      <c r="AD15" s="79"/>
      <c r="AE15" s="79"/>
      <c r="AF15" s="79"/>
      <c r="AG15" s="79"/>
      <c r="AH15" s="79"/>
      <c r="AI15" s="79"/>
    </row>
    <row r="16">
      <c r="A16" s="41">
        <f>COUNTIF(C5:H28,"=3")/6</f>
        <v>2.666666667</v>
      </c>
      <c r="B16" s="40" t="s">
        <v>50</v>
      </c>
      <c r="C16" s="28">
        <v>3.0</v>
      </c>
      <c r="D16" s="28">
        <v>3.0</v>
      </c>
      <c r="E16" s="28">
        <v>3.0</v>
      </c>
      <c r="F16" s="28">
        <v>3.0</v>
      </c>
      <c r="G16" s="27">
        <v>2.0</v>
      </c>
      <c r="H16" s="27">
        <v>2.0</v>
      </c>
      <c r="J16" s="41">
        <f>COUNTIF(L5:Q28,"=3")/6</f>
        <v>1.5</v>
      </c>
      <c r="K16" s="40" t="s">
        <v>50</v>
      </c>
      <c r="L16" s="28">
        <v>3.0</v>
      </c>
      <c r="M16" s="28">
        <v>3.0</v>
      </c>
      <c r="N16" s="28">
        <v>3.0</v>
      </c>
      <c r="O16" s="28">
        <v>3.0</v>
      </c>
      <c r="P16" s="27">
        <v>2.0</v>
      </c>
      <c r="Q16" s="27">
        <v>2.0</v>
      </c>
      <c r="S16" s="41">
        <f>COUNTIF(U5:Z28,"=3")/6</f>
        <v>0</v>
      </c>
      <c r="T16" s="40" t="s">
        <v>50</v>
      </c>
      <c r="U16" s="79"/>
      <c r="V16" s="79"/>
      <c r="W16" s="79"/>
      <c r="X16" s="79"/>
      <c r="Y16" s="79"/>
      <c r="Z16" s="79"/>
      <c r="AB16" s="41">
        <f>COUNTIF(AD5:AI28,"=3")/6</f>
        <v>0</v>
      </c>
      <c r="AC16" s="40" t="s">
        <v>50</v>
      </c>
      <c r="AD16" s="79"/>
      <c r="AE16" s="79"/>
      <c r="AF16" s="79"/>
      <c r="AG16" s="79"/>
      <c r="AH16" s="79"/>
      <c r="AI16" s="79"/>
    </row>
    <row r="17">
      <c r="A17" s="87" t="s">
        <v>51</v>
      </c>
      <c r="B17" s="40" t="s">
        <v>52</v>
      </c>
      <c r="C17" s="27">
        <v>2.0</v>
      </c>
      <c r="D17" s="27">
        <v>2.0</v>
      </c>
      <c r="E17" s="74">
        <v>4.0</v>
      </c>
      <c r="F17" s="74">
        <v>4.0</v>
      </c>
      <c r="G17" s="74">
        <v>4.0</v>
      </c>
      <c r="H17" s="74">
        <v>4.0</v>
      </c>
      <c r="J17" s="87" t="s">
        <v>51</v>
      </c>
      <c r="K17" s="40" t="s">
        <v>52</v>
      </c>
      <c r="L17" s="75">
        <v>5.0</v>
      </c>
      <c r="M17" s="75">
        <v>5.0</v>
      </c>
      <c r="N17" s="75">
        <v>5.0</v>
      </c>
      <c r="O17" s="75">
        <v>5.0</v>
      </c>
      <c r="P17" s="75">
        <v>5.0</v>
      </c>
      <c r="Q17" s="75">
        <v>5.0</v>
      </c>
      <c r="S17" s="87" t="s">
        <v>51</v>
      </c>
      <c r="T17" s="40" t="s">
        <v>52</v>
      </c>
      <c r="U17" s="79"/>
      <c r="V17" s="79"/>
      <c r="W17" s="79"/>
      <c r="X17" s="79"/>
      <c r="Y17" s="79"/>
      <c r="Z17" s="79"/>
      <c r="AB17" s="87" t="s">
        <v>51</v>
      </c>
      <c r="AC17" s="40" t="s">
        <v>52</v>
      </c>
      <c r="AD17" s="79"/>
      <c r="AE17" s="79"/>
      <c r="AF17" s="79"/>
      <c r="AG17" s="79"/>
      <c r="AH17" s="79"/>
      <c r="AI17" s="79"/>
    </row>
    <row r="18">
      <c r="A18" s="89" t="s">
        <v>117</v>
      </c>
      <c r="B18" s="34" t="s">
        <v>54</v>
      </c>
      <c r="C18" s="74">
        <v>4.0</v>
      </c>
      <c r="D18" s="74">
        <v>4.0</v>
      </c>
      <c r="E18" s="74">
        <v>4.0</v>
      </c>
      <c r="F18" s="74">
        <v>4.0</v>
      </c>
      <c r="G18" s="74">
        <v>4.0</v>
      </c>
      <c r="H18" s="74">
        <v>4.0</v>
      </c>
      <c r="J18" s="89" t="s">
        <v>119</v>
      </c>
      <c r="K18" s="34" t="s">
        <v>54</v>
      </c>
      <c r="L18" s="75">
        <v>5.0</v>
      </c>
      <c r="M18" s="75">
        <v>5.0</v>
      </c>
      <c r="N18" s="75">
        <v>5.0</v>
      </c>
      <c r="O18" s="75">
        <v>5.0</v>
      </c>
      <c r="P18" s="75">
        <v>5.0</v>
      </c>
      <c r="Q18" s="75">
        <v>5.0</v>
      </c>
      <c r="S18" s="89"/>
      <c r="T18" s="34" t="s">
        <v>54</v>
      </c>
      <c r="U18" s="79"/>
      <c r="V18" s="79"/>
      <c r="W18" s="79"/>
      <c r="X18" s="79"/>
      <c r="Y18" s="79"/>
      <c r="Z18" s="79"/>
      <c r="AB18" s="89"/>
      <c r="AC18" s="34" t="s">
        <v>54</v>
      </c>
      <c r="AD18" s="79"/>
      <c r="AE18" s="79"/>
      <c r="AF18" s="79"/>
      <c r="AG18" s="79"/>
      <c r="AH18" s="79"/>
      <c r="AI18" s="79"/>
    </row>
    <row r="19">
      <c r="A19" s="93"/>
      <c r="B19" s="40" t="s">
        <v>58</v>
      </c>
      <c r="C19" s="74">
        <v>4.0</v>
      </c>
      <c r="D19" s="74">
        <v>4.0</v>
      </c>
      <c r="E19" s="74">
        <v>4.0</v>
      </c>
      <c r="F19" s="74">
        <v>4.0</v>
      </c>
      <c r="G19" s="74">
        <v>4.0</v>
      </c>
      <c r="H19" s="74">
        <v>4.0</v>
      </c>
      <c r="J19" s="93"/>
      <c r="K19" s="40" t="s">
        <v>58</v>
      </c>
      <c r="L19" s="75">
        <v>5.0</v>
      </c>
      <c r="M19" s="75">
        <v>5.0</v>
      </c>
      <c r="N19" s="75">
        <v>5.0</v>
      </c>
      <c r="O19" s="75">
        <v>5.0</v>
      </c>
      <c r="P19" s="75">
        <v>5.0</v>
      </c>
      <c r="Q19" s="75">
        <v>5.0</v>
      </c>
      <c r="S19" s="93"/>
      <c r="T19" s="40" t="s">
        <v>58</v>
      </c>
      <c r="U19" s="75">
        <v>5.0</v>
      </c>
      <c r="V19" s="75">
        <v>5.0</v>
      </c>
      <c r="W19" s="75">
        <v>5.0</v>
      </c>
      <c r="X19" s="75">
        <v>5.0</v>
      </c>
      <c r="Y19" s="75">
        <v>5.0</v>
      </c>
      <c r="Z19" s="75">
        <v>5.0</v>
      </c>
      <c r="AB19" s="93"/>
      <c r="AC19" s="40" t="s">
        <v>58</v>
      </c>
      <c r="AD19" s="79"/>
      <c r="AE19" s="79"/>
      <c r="AF19" s="79"/>
      <c r="AG19" s="79"/>
      <c r="AH19" s="79"/>
      <c r="AI19" s="79"/>
    </row>
    <row r="20">
      <c r="A20" s="41">
        <f>COUNTIF(C5:H28,"=4")/6</f>
        <v>4.5</v>
      </c>
      <c r="B20" s="40" t="s">
        <v>59</v>
      </c>
      <c r="C20" s="27">
        <v>2.0</v>
      </c>
      <c r="D20" s="27">
        <v>2.0</v>
      </c>
      <c r="E20" s="27">
        <v>2.0</v>
      </c>
      <c r="F20" s="27">
        <v>2.0</v>
      </c>
      <c r="G20" s="27">
        <v>2.0</v>
      </c>
      <c r="H20" s="74">
        <v>4.0</v>
      </c>
      <c r="J20" s="41">
        <f>COUNTIF(L5:Q28,"=4")/6</f>
        <v>2.666666667</v>
      </c>
      <c r="K20" s="40" t="s">
        <v>59</v>
      </c>
      <c r="L20" s="75">
        <v>5.0</v>
      </c>
      <c r="M20" s="75">
        <v>5.0</v>
      </c>
      <c r="N20" s="75">
        <v>5.0</v>
      </c>
      <c r="O20" s="75">
        <v>5.0</v>
      </c>
      <c r="P20" s="75">
        <v>5.0</v>
      </c>
      <c r="Q20" s="75">
        <v>5.0</v>
      </c>
      <c r="S20" s="41">
        <f>COUNTIF(U5:Z28,"=4")/6</f>
        <v>0</v>
      </c>
      <c r="T20" s="40" t="s">
        <v>59</v>
      </c>
      <c r="U20" s="75">
        <v>5.0</v>
      </c>
      <c r="V20" s="75">
        <v>5.0</v>
      </c>
      <c r="W20" s="75">
        <v>5.0</v>
      </c>
      <c r="X20" s="75">
        <v>5.0</v>
      </c>
      <c r="Y20" s="75">
        <v>5.0</v>
      </c>
      <c r="Z20" s="75">
        <v>5.0</v>
      </c>
      <c r="AB20" s="41">
        <f>COUNTIF(AD5:AI28,"=4")/6</f>
        <v>0</v>
      </c>
      <c r="AC20" s="40" t="s">
        <v>59</v>
      </c>
      <c r="AD20" s="75">
        <v>5.0</v>
      </c>
      <c r="AE20" s="75">
        <v>5.0</v>
      </c>
      <c r="AF20" s="75">
        <v>5.0</v>
      </c>
      <c r="AG20" s="75">
        <v>5.0</v>
      </c>
      <c r="AH20" s="75">
        <v>5.0</v>
      </c>
      <c r="AI20" s="75">
        <v>5.0</v>
      </c>
    </row>
    <row r="21">
      <c r="A21" s="96" t="s">
        <v>60</v>
      </c>
      <c r="B21" s="40" t="s">
        <v>61</v>
      </c>
      <c r="C21" s="74">
        <v>4.0</v>
      </c>
      <c r="D21" s="74">
        <v>4.0</v>
      </c>
      <c r="E21" s="74">
        <v>4.0</v>
      </c>
      <c r="F21" s="74">
        <v>4.0</v>
      </c>
      <c r="G21" s="74">
        <v>4.0</v>
      </c>
      <c r="H21" s="74">
        <v>4.0</v>
      </c>
      <c r="J21" s="96" t="s">
        <v>60</v>
      </c>
      <c r="K21" s="40" t="s">
        <v>61</v>
      </c>
      <c r="L21" s="75">
        <v>5.0</v>
      </c>
      <c r="M21" s="75">
        <v>5.0</v>
      </c>
      <c r="N21" s="75">
        <v>5.0</v>
      </c>
      <c r="O21" s="75">
        <v>5.0</v>
      </c>
      <c r="P21" s="75">
        <v>5.0</v>
      </c>
      <c r="Q21" s="75">
        <v>5.0</v>
      </c>
      <c r="S21" s="96" t="s">
        <v>60</v>
      </c>
      <c r="T21" s="40" t="s">
        <v>61</v>
      </c>
      <c r="U21" s="75">
        <v>5.0</v>
      </c>
      <c r="V21" s="75">
        <v>5.0</v>
      </c>
      <c r="W21" s="75">
        <v>5.0</v>
      </c>
      <c r="X21" s="75">
        <v>5.0</v>
      </c>
      <c r="Y21" s="75">
        <v>5.0</v>
      </c>
      <c r="Z21" s="75">
        <v>5.0</v>
      </c>
      <c r="AB21" s="96" t="s">
        <v>60</v>
      </c>
      <c r="AC21" s="40" t="s">
        <v>61</v>
      </c>
      <c r="AD21" s="75">
        <v>5.0</v>
      </c>
      <c r="AE21" s="75">
        <v>5.0</v>
      </c>
      <c r="AF21" s="75">
        <v>5.0</v>
      </c>
      <c r="AG21" s="75">
        <v>5.0</v>
      </c>
      <c r="AH21" s="75">
        <v>5.0</v>
      </c>
      <c r="AI21" s="75">
        <v>5.0</v>
      </c>
    </row>
    <row r="22">
      <c r="A22" s="89" t="s">
        <v>124</v>
      </c>
      <c r="B22" s="34" t="s">
        <v>63</v>
      </c>
      <c r="C22" s="75">
        <v>5.0</v>
      </c>
      <c r="D22" s="75">
        <v>5.0</v>
      </c>
      <c r="E22" s="75">
        <v>5.0</v>
      </c>
      <c r="F22" s="75">
        <v>5.0</v>
      </c>
      <c r="G22" s="75">
        <v>5.0</v>
      </c>
      <c r="H22" s="75">
        <v>5.0</v>
      </c>
      <c r="J22" s="89" t="s">
        <v>125</v>
      </c>
      <c r="K22" s="34" t="s">
        <v>63</v>
      </c>
      <c r="L22" s="75">
        <v>5.0</v>
      </c>
      <c r="M22" s="75">
        <v>5.0</v>
      </c>
      <c r="N22" s="75">
        <v>5.0</v>
      </c>
      <c r="O22" s="27">
        <v>2.0</v>
      </c>
      <c r="P22" s="27">
        <v>2.0</v>
      </c>
      <c r="Q22" s="74">
        <v>4.0</v>
      </c>
      <c r="S22" s="89"/>
      <c r="T22" s="34" t="s">
        <v>63</v>
      </c>
      <c r="U22" s="75">
        <v>5.0</v>
      </c>
      <c r="V22" s="75">
        <v>5.0</v>
      </c>
      <c r="W22" s="75">
        <v>5.0</v>
      </c>
      <c r="X22" s="75">
        <v>5.0</v>
      </c>
      <c r="Y22" s="75">
        <v>5.0</v>
      </c>
      <c r="Z22" s="75">
        <v>5.0</v>
      </c>
      <c r="AB22" s="89"/>
      <c r="AC22" s="34" t="s">
        <v>63</v>
      </c>
      <c r="AD22" s="75">
        <v>5.0</v>
      </c>
      <c r="AE22" s="75">
        <v>5.0</v>
      </c>
      <c r="AF22" s="75">
        <v>5.0</v>
      </c>
      <c r="AG22" s="75">
        <v>5.0</v>
      </c>
      <c r="AH22" s="75">
        <v>5.0</v>
      </c>
      <c r="AI22" s="75">
        <v>5.0</v>
      </c>
    </row>
    <row r="23">
      <c r="A23" s="93"/>
      <c r="B23" s="40" t="s">
        <v>67</v>
      </c>
      <c r="C23" s="75">
        <v>5.0</v>
      </c>
      <c r="D23" s="75">
        <v>5.0</v>
      </c>
      <c r="E23" s="75">
        <v>5.0</v>
      </c>
      <c r="F23" s="75">
        <v>5.0</v>
      </c>
      <c r="G23" s="75">
        <v>5.0</v>
      </c>
      <c r="H23" s="75">
        <v>5.0</v>
      </c>
      <c r="J23" s="93"/>
      <c r="K23" s="40" t="s">
        <v>67</v>
      </c>
      <c r="L23" s="74">
        <v>4.0</v>
      </c>
      <c r="M23" s="74">
        <v>4.0</v>
      </c>
      <c r="N23" s="74">
        <v>4.0</v>
      </c>
      <c r="O23" s="74">
        <v>4.0</v>
      </c>
      <c r="P23" s="74">
        <v>4.0</v>
      </c>
      <c r="Q23" s="74">
        <v>4.0</v>
      </c>
      <c r="S23" s="93"/>
      <c r="T23" s="40" t="s">
        <v>67</v>
      </c>
      <c r="U23" s="75">
        <v>5.0</v>
      </c>
      <c r="V23" s="75">
        <v>5.0</v>
      </c>
      <c r="W23" s="75">
        <v>5.0</v>
      </c>
      <c r="X23" s="75">
        <v>5.0</v>
      </c>
      <c r="Y23" s="75">
        <v>5.0</v>
      </c>
      <c r="Z23" s="75">
        <v>5.0</v>
      </c>
      <c r="AB23" s="93"/>
      <c r="AC23" s="40" t="s">
        <v>67</v>
      </c>
      <c r="AD23" s="75">
        <v>5.0</v>
      </c>
      <c r="AE23" s="75">
        <v>5.0</v>
      </c>
      <c r="AF23" s="75">
        <v>5.0</v>
      </c>
      <c r="AG23" s="75">
        <v>5.0</v>
      </c>
      <c r="AH23" s="75">
        <v>5.0</v>
      </c>
      <c r="AI23" s="75">
        <v>5.0</v>
      </c>
    </row>
    <row r="24">
      <c r="A24" s="41">
        <f>COUNTIF(C5:H28,"=5")/6</f>
        <v>7</v>
      </c>
      <c r="B24" s="40" t="s">
        <v>68</v>
      </c>
      <c r="C24" s="75">
        <v>5.0</v>
      </c>
      <c r="D24" s="75">
        <v>5.0</v>
      </c>
      <c r="E24" s="75">
        <v>5.0</v>
      </c>
      <c r="F24" s="75">
        <v>5.0</v>
      </c>
      <c r="G24" s="75">
        <v>5.0</v>
      </c>
      <c r="H24" s="75">
        <v>5.0</v>
      </c>
      <c r="J24" s="41">
        <f>COUNTIF(L5:Q28,"=5")/6</f>
        <v>9.166666667</v>
      </c>
      <c r="K24" s="40" t="s">
        <v>68</v>
      </c>
      <c r="L24" s="74">
        <v>4.0</v>
      </c>
      <c r="M24" s="74">
        <v>4.0</v>
      </c>
      <c r="N24" s="74">
        <v>4.0</v>
      </c>
      <c r="O24" s="74">
        <v>4.0</v>
      </c>
      <c r="P24" s="74">
        <v>4.0</v>
      </c>
      <c r="Q24" s="74">
        <v>4.0</v>
      </c>
      <c r="S24" s="41">
        <f>COUNTIF(U5:Z28,"=5")/6</f>
        <v>10</v>
      </c>
      <c r="T24" s="40" t="s">
        <v>68</v>
      </c>
      <c r="U24" s="75">
        <v>5.0</v>
      </c>
      <c r="V24" s="75">
        <v>5.0</v>
      </c>
      <c r="W24" s="75">
        <v>5.0</v>
      </c>
      <c r="X24" s="75">
        <v>5.0</v>
      </c>
      <c r="Y24" s="75">
        <v>5.0</v>
      </c>
      <c r="Z24" s="75">
        <v>5.0</v>
      </c>
      <c r="AB24" s="41">
        <f>COUNTIF(AD5:AI28,"=5")/6</f>
        <v>10</v>
      </c>
      <c r="AC24" s="40" t="s">
        <v>68</v>
      </c>
      <c r="AD24" s="75">
        <v>5.0</v>
      </c>
      <c r="AE24" s="75">
        <v>5.0</v>
      </c>
      <c r="AF24" s="75">
        <v>5.0</v>
      </c>
      <c r="AG24" s="75">
        <v>5.0</v>
      </c>
      <c r="AH24" s="75">
        <v>5.0</v>
      </c>
      <c r="AI24" s="75">
        <v>5.0</v>
      </c>
    </row>
    <row r="25">
      <c r="A25" s="48" t="s">
        <v>69</v>
      </c>
      <c r="B25" s="40" t="s">
        <v>23</v>
      </c>
      <c r="C25" s="75">
        <v>5.0</v>
      </c>
      <c r="D25" s="75">
        <v>5.0</v>
      </c>
      <c r="E25" s="75">
        <v>5.0</v>
      </c>
      <c r="F25" s="75">
        <v>5.0</v>
      </c>
      <c r="G25" s="75">
        <v>5.0</v>
      </c>
      <c r="H25" s="75">
        <v>5.0</v>
      </c>
      <c r="J25" s="48" t="s">
        <v>69</v>
      </c>
      <c r="K25" s="40" t="s">
        <v>23</v>
      </c>
      <c r="L25" s="27">
        <v>2.0</v>
      </c>
      <c r="M25" s="27">
        <v>2.0</v>
      </c>
      <c r="N25" s="74">
        <v>4.0</v>
      </c>
      <c r="O25" s="74">
        <v>4.0</v>
      </c>
      <c r="P25" s="74">
        <v>4.0</v>
      </c>
      <c r="Q25" s="27">
        <v>2.0</v>
      </c>
      <c r="S25" s="48" t="s">
        <v>69</v>
      </c>
      <c r="T25" s="40" t="s">
        <v>23</v>
      </c>
      <c r="U25" s="75">
        <v>5.0</v>
      </c>
      <c r="V25" s="75">
        <v>5.0</v>
      </c>
      <c r="W25" s="75">
        <v>5.0</v>
      </c>
      <c r="X25" s="75">
        <v>5.0</v>
      </c>
      <c r="Y25" s="75">
        <v>5.0</v>
      </c>
      <c r="Z25" s="75">
        <v>5.0</v>
      </c>
      <c r="AB25" s="48" t="s">
        <v>69</v>
      </c>
      <c r="AC25" s="40" t="s">
        <v>23</v>
      </c>
      <c r="AD25" s="75">
        <v>5.0</v>
      </c>
      <c r="AE25" s="75">
        <v>5.0</v>
      </c>
      <c r="AF25" s="75">
        <v>5.0</v>
      </c>
      <c r="AG25" s="75">
        <v>5.0</v>
      </c>
      <c r="AH25" s="75">
        <v>5.0</v>
      </c>
      <c r="AI25" s="75">
        <v>5.0</v>
      </c>
    </row>
    <row r="26">
      <c r="A26" s="93" t="s">
        <v>126</v>
      </c>
      <c r="B26" s="34" t="s">
        <v>70</v>
      </c>
      <c r="C26" s="75">
        <v>5.0</v>
      </c>
      <c r="D26" s="75">
        <v>5.0</v>
      </c>
      <c r="E26" s="75">
        <v>5.0</v>
      </c>
      <c r="F26" s="75">
        <v>5.0</v>
      </c>
      <c r="G26" s="75">
        <v>5.0</v>
      </c>
      <c r="H26" s="75">
        <v>5.0</v>
      </c>
      <c r="J26" s="93" t="s">
        <v>126</v>
      </c>
      <c r="K26" s="34" t="s">
        <v>70</v>
      </c>
      <c r="L26" s="27">
        <v>2.0</v>
      </c>
      <c r="M26" s="27">
        <v>2.0</v>
      </c>
      <c r="N26" s="75">
        <v>5.0</v>
      </c>
      <c r="O26" s="75">
        <v>5.0</v>
      </c>
      <c r="P26" s="75">
        <v>5.0</v>
      </c>
      <c r="Q26" s="75">
        <v>5.0</v>
      </c>
      <c r="S26" s="93"/>
      <c r="T26" s="34" t="s">
        <v>70</v>
      </c>
      <c r="U26" s="75">
        <v>5.0</v>
      </c>
      <c r="V26" s="75">
        <v>5.0</v>
      </c>
      <c r="W26" s="75">
        <v>5.0</v>
      </c>
      <c r="X26" s="75">
        <v>5.0</v>
      </c>
      <c r="Y26" s="75">
        <v>5.0</v>
      </c>
      <c r="Z26" s="75">
        <v>5.0</v>
      </c>
      <c r="AB26" s="93"/>
      <c r="AC26" s="34" t="s">
        <v>70</v>
      </c>
      <c r="AD26" s="75">
        <v>5.0</v>
      </c>
      <c r="AE26" s="75">
        <v>5.0</v>
      </c>
      <c r="AF26" s="75">
        <v>5.0</v>
      </c>
      <c r="AG26" s="75">
        <v>5.0</v>
      </c>
      <c r="AH26" s="75">
        <v>5.0</v>
      </c>
      <c r="AI26" s="75">
        <v>5.0</v>
      </c>
    </row>
    <row r="27">
      <c r="A27" s="97"/>
      <c r="B27" s="34" t="s">
        <v>72</v>
      </c>
      <c r="C27" s="75">
        <v>5.0</v>
      </c>
      <c r="D27" s="75">
        <v>5.0</v>
      </c>
      <c r="E27" s="75">
        <v>5.0</v>
      </c>
      <c r="F27" s="75">
        <v>5.0</v>
      </c>
      <c r="G27" s="75">
        <v>5.0</v>
      </c>
      <c r="H27" s="75">
        <v>5.0</v>
      </c>
      <c r="J27" s="93" t="s">
        <v>127</v>
      </c>
      <c r="K27" s="34" t="s">
        <v>72</v>
      </c>
      <c r="L27" s="75">
        <v>5.0</v>
      </c>
      <c r="M27" s="75">
        <v>5.0</v>
      </c>
      <c r="N27" s="75">
        <v>5.0</v>
      </c>
      <c r="O27" s="75">
        <v>5.0</v>
      </c>
      <c r="P27" s="75">
        <v>5.0</v>
      </c>
      <c r="Q27" s="75">
        <v>5.0</v>
      </c>
      <c r="S27" s="93" t="s">
        <v>128</v>
      </c>
      <c r="T27" s="34" t="s">
        <v>72</v>
      </c>
      <c r="U27" s="75">
        <v>5.0</v>
      </c>
      <c r="V27" s="75">
        <v>5.0</v>
      </c>
      <c r="W27" s="75">
        <v>5.0</v>
      </c>
      <c r="X27" s="75">
        <v>5.0</v>
      </c>
      <c r="Y27" s="75">
        <v>5.0</v>
      </c>
      <c r="Z27" s="75">
        <v>5.0</v>
      </c>
      <c r="AB27" s="93" t="s">
        <v>128</v>
      </c>
      <c r="AC27" s="34" t="s">
        <v>72</v>
      </c>
      <c r="AD27" s="75">
        <v>5.0</v>
      </c>
      <c r="AE27" s="75">
        <v>5.0</v>
      </c>
      <c r="AF27" s="75">
        <v>5.0</v>
      </c>
      <c r="AG27" s="75">
        <v>5.0</v>
      </c>
      <c r="AH27" s="75">
        <v>5.0</v>
      </c>
      <c r="AI27" s="75">
        <v>5.0</v>
      </c>
    </row>
    <row r="28">
      <c r="A28" s="98"/>
      <c r="B28" s="34" t="s">
        <v>73</v>
      </c>
      <c r="C28" s="75">
        <v>5.0</v>
      </c>
      <c r="D28" s="75">
        <v>5.0</v>
      </c>
      <c r="E28" s="75">
        <v>5.0</v>
      </c>
      <c r="F28" s="75">
        <v>5.0</v>
      </c>
      <c r="G28" s="75">
        <v>5.0</v>
      </c>
      <c r="H28" s="75">
        <v>5.0</v>
      </c>
      <c r="J28" s="98"/>
      <c r="K28" s="34" t="s">
        <v>73</v>
      </c>
      <c r="L28" s="75">
        <v>5.0</v>
      </c>
      <c r="M28" s="75">
        <v>5.0</v>
      </c>
      <c r="N28" s="75">
        <v>5.0</v>
      </c>
      <c r="O28" s="75">
        <v>5.0</v>
      </c>
      <c r="P28" s="75">
        <v>5.0</v>
      </c>
      <c r="Q28" s="75">
        <v>5.0</v>
      </c>
      <c r="S28" s="98"/>
      <c r="T28" s="34" t="s">
        <v>73</v>
      </c>
      <c r="U28" s="75">
        <v>5.0</v>
      </c>
      <c r="V28" s="75">
        <v>5.0</v>
      </c>
      <c r="W28" s="75">
        <v>5.0</v>
      </c>
      <c r="X28" s="75">
        <v>5.0</v>
      </c>
      <c r="Y28" s="75">
        <v>5.0</v>
      </c>
      <c r="Z28" s="75">
        <v>5.0</v>
      </c>
      <c r="AB28" s="98"/>
      <c r="AC28" s="34" t="s">
        <v>73</v>
      </c>
      <c r="AD28" s="75">
        <v>5.0</v>
      </c>
      <c r="AE28" s="75">
        <v>5.0</v>
      </c>
      <c r="AF28" s="75">
        <v>5.0</v>
      </c>
      <c r="AG28" s="75">
        <v>5.0</v>
      </c>
      <c r="AH28" s="75">
        <v>5.0</v>
      </c>
      <c r="AI28" s="75">
        <v>5.0</v>
      </c>
    </row>
    <row r="29">
      <c r="A29" s="99">
        <f>SUM(A8,A12,A16,A20,A24)</f>
        <v>24</v>
      </c>
      <c r="J29" s="99">
        <f>SUM(J8,J12,J16,J20,J24)</f>
        <v>24</v>
      </c>
      <c r="S29" s="99">
        <f>SUM(S8,S12,S16,S20,S24)</f>
        <v>10</v>
      </c>
      <c r="AB29" s="99">
        <f>SUM(AB8,AB12,AB16,AB20,AB24)</f>
        <v>10</v>
      </c>
      <c r="AI29" s="22"/>
    </row>
    <row r="30">
      <c r="A30" s="100"/>
      <c r="AI30" s="22"/>
    </row>
    <row r="31">
      <c r="A31" s="19"/>
      <c r="J31" s="21"/>
      <c r="S31" s="21"/>
      <c r="AI31" s="22"/>
    </row>
    <row r="32">
      <c r="A32" s="70" t="s">
        <v>129</v>
      </c>
      <c r="B32" s="72" t="s">
        <v>16</v>
      </c>
      <c r="C32" s="73"/>
      <c r="D32" s="76">
        <v>1.0</v>
      </c>
      <c r="E32" s="27">
        <v>2.0</v>
      </c>
      <c r="F32" s="28">
        <v>3.0</v>
      </c>
      <c r="G32" s="74">
        <v>4.0</v>
      </c>
      <c r="H32" s="75">
        <v>5.0</v>
      </c>
      <c r="J32" s="70" t="s">
        <v>130</v>
      </c>
      <c r="K32" s="72" t="s">
        <v>16</v>
      </c>
      <c r="L32" s="73"/>
      <c r="M32" s="76">
        <v>1.0</v>
      </c>
      <c r="N32" s="27">
        <v>2.0</v>
      </c>
      <c r="O32" s="28">
        <v>3.0</v>
      </c>
      <c r="P32" s="74">
        <v>4.0</v>
      </c>
      <c r="Q32" s="75">
        <v>5.0</v>
      </c>
      <c r="S32" s="70" t="s">
        <v>131</v>
      </c>
      <c r="T32" s="72" t="s">
        <v>16</v>
      </c>
      <c r="U32" s="73"/>
      <c r="V32" s="76">
        <v>1.0</v>
      </c>
      <c r="W32" s="27">
        <v>2.0</v>
      </c>
      <c r="X32" s="28">
        <v>3.0</v>
      </c>
      <c r="Y32" s="74">
        <v>4.0</v>
      </c>
      <c r="Z32" s="75">
        <v>5.0</v>
      </c>
      <c r="AB32" s="70" t="s">
        <v>77</v>
      </c>
      <c r="AC32" s="101" t="s">
        <v>78</v>
      </c>
      <c r="AD32" s="101" t="s">
        <v>79</v>
      </c>
      <c r="AE32" s="101" t="s">
        <v>80</v>
      </c>
      <c r="AF32" s="101" t="s">
        <v>81</v>
      </c>
      <c r="AG32" s="101" t="s">
        <v>82</v>
      </c>
      <c r="AH32" s="101" t="s">
        <v>83</v>
      </c>
      <c r="AI32" s="101" t="s">
        <v>84</v>
      </c>
    </row>
    <row r="33">
      <c r="A33" s="77" t="s">
        <v>20</v>
      </c>
      <c r="B33" s="78" t="s">
        <v>21</v>
      </c>
      <c r="C33" s="78" t="s">
        <v>22</v>
      </c>
      <c r="D33" s="78" t="s">
        <v>23</v>
      </c>
      <c r="E33" s="78" t="s">
        <v>24</v>
      </c>
      <c r="F33" s="78" t="s">
        <v>25</v>
      </c>
      <c r="G33" s="78" t="s">
        <v>26</v>
      </c>
      <c r="H33" s="78" t="s">
        <v>27</v>
      </c>
      <c r="J33" s="77" t="s">
        <v>20</v>
      </c>
      <c r="K33" s="78" t="s">
        <v>21</v>
      </c>
      <c r="L33" s="78" t="s">
        <v>22</v>
      </c>
      <c r="M33" s="78" t="s">
        <v>23</v>
      </c>
      <c r="N33" s="78" t="s">
        <v>24</v>
      </c>
      <c r="O33" s="78" t="s">
        <v>25</v>
      </c>
      <c r="P33" s="78" t="s">
        <v>26</v>
      </c>
      <c r="Q33" s="78" t="s">
        <v>27</v>
      </c>
      <c r="S33" s="77" t="s">
        <v>20</v>
      </c>
      <c r="T33" s="78" t="s">
        <v>21</v>
      </c>
      <c r="U33" s="78" t="s">
        <v>22</v>
      </c>
      <c r="V33" s="78" t="s">
        <v>23</v>
      </c>
      <c r="W33" s="78" t="s">
        <v>24</v>
      </c>
      <c r="X33" s="78" t="s">
        <v>25</v>
      </c>
      <c r="Y33" s="78" t="s">
        <v>26</v>
      </c>
      <c r="Z33" s="78" t="s">
        <v>27</v>
      </c>
      <c r="AB33" s="102" t="s">
        <v>85</v>
      </c>
      <c r="AC33" s="103">
        <f>A8</f>
        <v>8</v>
      </c>
      <c r="AD33" s="103">
        <f>J8</f>
        <v>9.166666667</v>
      </c>
      <c r="AE33" s="103">
        <f>S8</f>
        <v>0</v>
      </c>
      <c r="AF33" s="103">
        <f>AB8</f>
        <v>0</v>
      </c>
      <c r="AG33" s="103">
        <f>A37</f>
        <v>8.5</v>
      </c>
      <c r="AH33" s="103">
        <f>J37</f>
        <v>10.33333333</v>
      </c>
      <c r="AI33" s="103">
        <f>S37</f>
        <v>8.833333333</v>
      </c>
    </row>
    <row r="34">
      <c r="A34" s="33" t="s">
        <v>28</v>
      </c>
      <c r="B34" s="34" t="s">
        <v>21</v>
      </c>
      <c r="C34" s="75">
        <v>5.0</v>
      </c>
      <c r="D34" s="75">
        <v>5.0</v>
      </c>
      <c r="E34" s="75">
        <v>5.0</v>
      </c>
      <c r="F34" s="75">
        <v>5.0</v>
      </c>
      <c r="G34" s="75">
        <v>5.0</v>
      </c>
      <c r="H34" s="75">
        <v>5.0</v>
      </c>
      <c r="J34" s="33" t="s">
        <v>28</v>
      </c>
      <c r="K34" s="34" t="s">
        <v>21</v>
      </c>
      <c r="L34" s="76">
        <v>1.0</v>
      </c>
      <c r="M34" s="76">
        <v>1.0</v>
      </c>
      <c r="N34" s="76">
        <v>1.0</v>
      </c>
      <c r="O34" s="76">
        <v>1.0</v>
      </c>
      <c r="P34" s="76">
        <v>1.0</v>
      </c>
      <c r="Q34" s="76">
        <v>1.0</v>
      </c>
      <c r="S34" s="35" t="s">
        <v>28</v>
      </c>
      <c r="T34" s="34" t="s">
        <v>21</v>
      </c>
      <c r="U34" s="75">
        <v>5.0</v>
      </c>
      <c r="V34" s="75">
        <v>5.0</v>
      </c>
      <c r="W34" s="75">
        <v>5.0</v>
      </c>
      <c r="X34" s="27">
        <v>2.0</v>
      </c>
      <c r="Y34" s="27">
        <v>2.0</v>
      </c>
      <c r="Z34" s="27">
        <v>2.0</v>
      </c>
      <c r="AB34" s="104"/>
      <c r="AC34" s="105" t="s">
        <v>86</v>
      </c>
      <c r="AD34" s="59"/>
      <c r="AE34" s="106">
        <f>SUM(AC33:AI33)</f>
        <v>44.83333333</v>
      </c>
      <c r="AF34" s="107" t="s">
        <v>87</v>
      </c>
      <c r="AG34" s="62"/>
      <c r="AH34" s="103">
        <f>AVERAGE(AC33:AI33)</f>
        <v>6.404761905</v>
      </c>
      <c r="AI34" s="22"/>
    </row>
    <row r="35">
      <c r="A35" s="38"/>
      <c r="B35" s="34" t="s">
        <v>30</v>
      </c>
      <c r="C35" s="75">
        <v>5.0</v>
      </c>
      <c r="D35" s="75">
        <v>5.0</v>
      </c>
      <c r="E35" s="75">
        <v>5.0</v>
      </c>
      <c r="F35" s="75">
        <v>5.0</v>
      </c>
      <c r="G35" s="75">
        <v>5.0</v>
      </c>
      <c r="H35" s="75">
        <v>5.0</v>
      </c>
      <c r="I35" s="81" t="s">
        <v>31</v>
      </c>
      <c r="J35" s="36" t="s">
        <v>132</v>
      </c>
      <c r="K35" s="34" t="s">
        <v>30</v>
      </c>
      <c r="L35" s="76">
        <v>1.0</v>
      </c>
      <c r="M35" s="76">
        <v>1.0</v>
      </c>
      <c r="N35" s="76">
        <v>1.0</v>
      </c>
      <c r="O35" s="76">
        <v>1.0</v>
      </c>
      <c r="P35" s="76">
        <v>1.0</v>
      </c>
      <c r="Q35" s="76">
        <v>1.0</v>
      </c>
      <c r="S35" s="38"/>
      <c r="T35" s="34" t="s">
        <v>30</v>
      </c>
      <c r="U35" s="28">
        <v>3.0</v>
      </c>
      <c r="V35" s="28">
        <v>3.0</v>
      </c>
      <c r="W35" s="28">
        <v>3.0</v>
      </c>
      <c r="X35" s="28">
        <v>3.0</v>
      </c>
      <c r="Y35" s="28">
        <v>3.0</v>
      </c>
      <c r="Z35" s="76">
        <v>1.0</v>
      </c>
      <c r="AB35" s="108" t="s">
        <v>88</v>
      </c>
      <c r="AC35" s="103">
        <f>A12</f>
        <v>1.833333333</v>
      </c>
      <c r="AD35" s="103">
        <f>J12</f>
        <v>1.5</v>
      </c>
      <c r="AE35" s="103">
        <f>S12</f>
        <v>0</v>
      </c>
      <c r="AF35" s="103">
        <f>AB12</f>
        <v>0</v>
      </c>
      <c r="AG35" s="103">
        <f>A41</f>
        <v>1.333333333</v>
      </c>
      <c r="AH35" s="103">
        <f>J41</f>
        <v>1.166666667</v>
      </c>
      <c r="AI35" s="103">
        <f>S41</f>
        <v>2.833333333</v>
      </c>
    </row>
    <row r="36">
      <c r="A36" s="39"/>
      <c r="B36" s="40" t="s">
        <v>33</v>
      </c>
      <c r="C36" s="28">
        <v>3.0</v>
      </c>
      <c r="D36" s="28">
        <v>3.0</v>
      </c>
      <c r="E36" s="28">
        <v>3.0</v>
      </c>
      <c r="F36" s="28">
        <v>3.0</v>
      </c>
      <c r="G36" s="28">
        <v>3.0</v>
      </c>
      <c r="H36" s="28">
        <v>3.0</v>
      </c>
      <c r="J36" s="39"/>
      <c r="K36" s="40" t="s">
        <v>33</v>
      </c>
      <c r="L36" s="76">
        <v>1.0</v>
      </c>
      <c r="M36" s="76">
        <v>1.0</v>
      </c>
      <c r="N36" s="76">
        <v>1.0</v>
      </c>
      <c r="O36" s="76">
        <v>1.0</v>
      </c>
      <c r="P36" s="76">
        <v>1.0</v>
      </c>
      <c r="Q36" s="76">
        <v>1.0</v>
      </c>
      <c r="S36" s="39"/>
      <c r="T36" s="40" t="s">
        <v>33</v>
      </c>
      <c r="U36" s="76">
        <v>1.0</v>
      </c>
      <c r="V36" s="76">
        <v>1.0</v>
      </c>
      <c r="W36" s="76">
        <v>1.0</v>
      </c>
      <c r="X36" s="76">
        <v>1.0</v>
      </c>
      <c r="Y36" s="76">
        <v>1.0</v>
      </c>
      <c r="Z36" s="76">
        <v>1.0</v>
      </c>
      <c r="AB36" s="109"/>
      <c r="AC36" s="105" t="s">
        <v>86</v>
      </c>
      <c r="AD36" s="59"/>
      <c r="AE36" s="106">
        <f>SUM(AC35:AI35)</f>
        <v>8.666666667</v>
      </c>
      <c r="AF36" s="107" t="s">
        <v>87</v>
      </c>
      <c r="AG36" s="62"/>
      <c r="AH36" s="103">
        <f>AVERAGE(AC35:AI35)</f>
        <v>1.238095238</v>
      </c>
      <c r="AI36" s="22"/>
    </row>
    <row r="37">
      <c r="A37" s="41">
        <f>COUNTIF(C34:H57,"=1")/6</f>
        <v>8.5</v>
      </c>
      <c r="B37" s="40" t="s">
        <v>34</v>
      </c>
      <c r="C37" s="28">
        <v>3.0</v>
      </c>
      <c r="D37" s="76">
        <v>1.0</v>
      </c>
      <c r="E37" s="76">
        <v>1.0</v>
      </c>
      <c r="F37" s="76">
        <v>1.0</v>
      </c>
      <c r="G37" s="76">
        <v>1.0</v>
      </c>
      <c r="H37" s="76">
        <v>1.0</v>
      </c>
      <c r="J37" s="41">
        <f>COUNTIF(L34:Q57,"=1")/6</f>
        <v>10.33333333</v>
      </c>
      <c r="K37" s="40" t="s">
        <v>34</v>
      </c>
      <c r="L37" s="76">
        <v>1.0</v>
      </c>
      <c r="M37" s="76">
        <v>1.0</v>
      </c>
      <c r="N37" s="76">
        <v>1.0</v>
      </c>
      <c r="O37" s="76">
        <v>1.0</v>
      </c>
      <c r="P37" s="76">
        <v>1.0</v>
      </c>
      <c r="Q37" s="76">
        <v>1.0</v>
      </c>
      <c r="S37" s="41">
        <f>COUNTIF(U34:Z57,"=1")/6</f>
        <v>8.833333333</v>
      </c>
      <c r="T37" s="40" t="s">
        <v>34</v>
      </c>
      <c r="U37" s="76">
        <v>1.0</v>
      </c>
      <c r="V37" s="76">
        <v>1.0</v>
      </c>
      <c r="W37" s="76">
        <v>1.0</v>
      </c>
      <c r="X37" s="76">
        <v>1.0</v>
      </c>
      <c r="Y37" s="76">
        <v>1.0</v>
      </c>
      <c r="Z37" s="76">
        <v>1.0</v>
      </c>
      <c r="AB37" s="110" t="s">
        <v>89</v>
      </c>
      <c r="AC37" s="103">
        <f>A16</f>
        <v>2.666666667</v>
      </c>
      <c r="AD37" s="103">
        <f>J16</f>
        <v>1.5</v>
      </c>
      <c r="AE37" s="103" t="str">
        <f>S18</f>
        <v/>
      </c>
      <c r="AF37" s="103">
        <f>AB16</f>
        <v>0</v>
      </c>
      <c r="AG37" s="103">
        <f>A45</f>
        <v>3</v>
      </c>
      <c r="AH37" s="103">
        <f>J45</f>
        <v>0</v>
      </c>
      <c r="AI37" s="103">
        <f>S45</f>
        <v>1.5</v>
      </c>
    </row>
    <row r="38">
      <c r="A38" s="42" t="s">
        <v>35</v>
      </c>
      <c r="B38" s="40" t="s">
        <v>36</v>
      </c>
      <c r="C38" s="76">
        <v>1.0</v>
      </c>
      <c r="D38" s="76">
        <v>1.0</v>
      </c>
      <c r="E38" s="76">
        <v>1.0</v>
      </c>
      <c r="F38" s="76">
        <v>1.0</v>
      </c>
      <c r="G38" s="76">
        <v>1.0</v>
      </c>
      <c r="H38" s="76">
        <v>1.0</v>
      </c>
      <c r="J38" s="42" t="s">
        <v>35</v>
      </c>
      <c r="K38" s="40" t="s">
        <v>36</v>
      </c>
      <c r="L38" s="76">
        <v>1.0</v>
      </c>
      <c r="M38" s="76">
        <v>1.0</v>
      </c>
      <c r="N38" s="76">
        <v>1.0</v>
      </c>
      <c r="O38" s="76">
        <v>1.0</v>
      </c>
      <c r="P38" s="76">
        <v>1.0</v>
      </c>
      <c r="Q38" s="76">
        <v>1.0</v>
      </c>
      <c r="S38" s="42" t="s">
        <v>35</v>
      </c>
      <c r="T38" s="40" t="s">
        <v>36</v>
      </c>
      <c r="U38" s="76">
        <v>1.0</v>
      </c>
      <c r="V38" s="76">
        <v>1.0</v>
      </c>
      <c r="W38" s="76">
        <v>1.0</v>
      </c>
      <c r="X38" s="76">
        <v>1.0</v>
      </c>
      <c r="Y38" s="76">
        <v>1.0</v>
      </c>
      <c r="Z38" s="76">
        <v>1.0</v>
      </c>
      <c r="AB38" s="111"/>
      <c r="AC38" s="105" t="s">
        <v>86</v>
      </c>
      <c r="AD38" s="59"/>
      <c r="AE38" s="106">
        <f>SUM(AC37:AI37)</f>
        <v>8.666666667</v>
      </c>
      <c r="AF38" s="107" t="s">
        <v>87</v>
      </c>
      <c r="AG38" s="62"/>
      <c r="AH38" s="103">
        <f>AVERAGE(AC37:AI37)</f>
        <v>1.444444444</v>
      </c>
      <c r="AI38" s="22"/>
    </row>
    <row r="39">
      <c r="A39" s="36" t="s">
        <v>141</v>
      </c>
      <c r="B39" s="34" t="s">
        <v>38</v>
      </c>
      <c r="C39" s="76">
        <v>1.0</v>
      </c>
      <c r="D39" s="76">
        <v>1.0</v>
      </c>
      <c r="E39" s="76">
        <v>1.0</v>
      </c>
      <c r="F39" s="76">
        <v>1.0</v>
      </c>
      <c r="G39" s="76">
        <v>1.0</v>
      </c>
      <c r="H39" s="76">
        <v>1.0</v>
      </c>
      <c r="J39" s="68"/>
      <c r="K39" s="34" t="s">
        <v>38</v>
      </c>
      <c r="L39" s="76">
        <v>1.0</v>
      </c>
      <c r="M39" s="76">
        <v>1.0</v>
      </c>
      <c r="N39" s="76">
        <v>1.0</v>
      </c>
      <c r="O39" s="76">
        <v>1.0</v>
      </c>
      <c r="P39" s="76">
        <v>1.0</v>
      </c>
      <c r="Q39" s="76">
        <v>1.0</v>
      </c>
      <c r="S39" s="36" t="s">
        <v>142</v>
      </c>
      <c r="T39" s="34" t="s">
        <v>38</v>
      </c>
      <c r="U39" s="76">
        <v>1.0</v>
      </c>
      <c r="V39" s="76">
        <v>1.0</v>
      </c>
      <c r="W39" s="76">
        <v>1.0</v>
      </c>
      <c r="X39" s="76">
        <v>1.0</v>
      </c>
      <c r="Y39" s="76">
        <v>1.0</v>
      </c>
      <c r="Z39" s="76">
        <v>1.0</v>
      </c>
      <c r="AB39" s="112" t="s">
        <v>93</v>
      </c>
      <c r="AC39" s="103">
        <f>A20</f>
        <v>4.5</v>
      </c>
      <c r="AD39" s="103">
        <f>J20</f>
        <v>2.666666667</v>
      </c>
      <c r="AE39" s="103">
        <f>S20</f>
        <v>0</v>
      </c>
      <c r="AF39" s="103">
        <f>AB20</f>
        <v>0</v>
      </c>
      <c r="AG39" s="103">
        <f>A49</f>
        <v>2.5</v>
      </c>
      <c r="AH39" s="103">
        <f>J49</f>
        <v>1.333333333</v>
      </c>
      <c r="AI39" s="103">
        <f>S49</f>
        <v>1</v>
      </c>
    </row>
    <row r="40">
      <c r="A40" s="39"/>
      <c r="B40" s="40" t="s">
        <v>42</v>
      </c>
      <c r="C40" s="76">
        <v>1.0</v>
      </c>
      <c r="D40" s="76">
        <v>1.0</v>
      </c>
      <c r="E40" s="76">
        <v>1.0</v>
      </c>
      <c r="F40" s="76">
        <v>1.0</v>
      </c>
      <c r="G40" s="76">
        <v>1.0</v>
      </c>
      <c r="H40" s="76">
        <v>1.0</v>
      </c>
      <c r="J40" s="39"/>
      <c r="K40" s="40" t="s">
        <v>42</v>
      </c>
      <c r="L40" s="76">
        <v>1.0</v>
      </c>
      <c r="M40" s="76">
        <v>1.0</v>
      </c>
      <c r="N40" s="76">
        <v>1.0</v>
      </c>
      <c r="O40" s="76">
        <v>1.0</v>
      </c>
      <c r="P40" s="76">
        <v>1.0</v>
      </c>
      <c r="Q40" s="76">
        <v>1.0</v>
      </c>
      <c r="S40" s="39"/>
      <c r="T40" s="40" t="s">
        <v>42</v>
      </c>
      <c r="U40" s="76">
        <v>1.0</v>
      </c>
      <c r="V40" s="76">
        <v>1.0</v>
      </c>
      <c r="W40" s="76">
        <v>1.0</v>
      </c>
      <c r="X40" s="76">
        <v>1.0</v>
      </c>
      <c r="Y40" s="76">
        <v>1.0</v>
      </c>
      <c r="Z40" s="76">
        <v>1.0</v>
      </c>
      <c r="AB40" s="113"/>
      <c r="AC40" s="105" t="s">
        <v>86</v>
      </c>
      <c r="AD40" s="59"/>
      <c r="AE40" s="106">
        <f>SUM(AC39:AI39)</f>
        <v>12</v>
      </c>
      <c r="AF40" s="107" t="s">
        <v>87</v>
      </c>
      <c r="AG40" s="62"/>
      <c r="AH40" s="103">
        <f>AVERAGE(AC39:AI39)</f>
        <v>1.714285714</v>
      </c>
      <c r="AI40" s="22"/>
    </row>
    <row r="41">
      <c r="A41" s="41">
        <f>COUNTIF(C34:H57,"=2")/6</f>
        <v>1.333333333</v>
      </c>
      <c r="B41" s="40" t="s">
        <v>43</v>
      </c>
      <c r="C41" s="76">
        <v>1.0</v>
      </c>
      <c r="D41" s="76">
        <v>1.0</v>
      </c>
      <c r="E41" s="76">
        <v>1.0</v>
      </c>
      <c r="F41" s="76">
        <v>1.0</v>
      </c>
      <c r="G41" s="76">
        <v>1.0</v>
      </c>
      <c r="H41" s="76">
        <v>1.0</v>
      </c>
      <c r="J41" s="41">
        <f>COUNTIF(L34:Q57,"=2")/6</f>
        <v>1.166666667</v>
      </c>
      <c r="K41" s="40" t="s">
        <v>43</v>
      </c>
      <c r="L41" s="76">
        <v>1.0</v>
      </c>
      <c r="M41" s="76">
        <v>1.0</v>
      </c>
      <c r="N41" s="76">
        <v>1.0</v>
      </c>
      <c r="O41" s="76">
        <v>1.0</v>
      </c>
      <c r="P41" s="76">
        <v>1.0</v>
      </c>
      <c r="Q41" s="76">
        <v>1.0</v>
      </c>
      <c r="S41" s="41">
        <f>COUNTIF(U34:Z57,"=2")/6</f>
        <v>2.833333333</v>
      </c>
      <c r="T41" s="40" t="s">
        <v>43</v>
      </c>
      <c r="U41" s="76">
        <v>1.0</v>
      </c>
      <c r="V41" s="76">
        <v>1.0</v>
      </c>
      <c r="W41" s="76">
        <v>1.0</v>
      </c>
      <c r="X41" s="76">
        <v>1.0</v>
      </c>
      <c r="Y41" s="76">
        <v>1.0</v>
      </c>
      <c r="Z41" s="76">
        <v>1.0</v>
      </c>
      <c r="AB41" s="114" t="s">
        <v>98</v>
      </c>
      <c r="AC41" s="103">
        <f>A24</f>
        <v>7</v>
      </c>
      <c r="AD41" s="103">
        <f>J24</f>
        <v>9.166666667</v>
      </c>
      <c r="AE41" s="103">
        <f>S24</f>
        <v>10</v>
      </c>
      <c r="AF41" s="103">
        <f>AB24</f>
        <v>10</v>
      </c>
      <c r="AG41" s="103">
        <f>A53</f>
        <v>8.666666667</v>
      </c>
      <c r="AH41" s="103">
        <f>J53</f>
        <v>11.16666667</v>
      </c>
      <c r="AI41" s="103">
        <f>S53</f>
        <v>9.833333333</v>
      </c>
    </row>
    <row r="42">
      <c r="A42" s="44" t="s">
        <v>44</v>
      </c>
      <c r="B42" s="40" t="s">
        <v>45</v>
      </c>
      <c r="C42" s="76">
        <v>1.0</v>
      </c>
      <c r="D42" s="76">
        <v>1.0</v>
      </c>
      <c r="E42" s="76">
        <v>1.0</v>
      </c>
      <c r="F42" s="76">
        <v>1.0</v>
      </c>
      <c r="G42" s="76">
        <v>1.0</v>
      </c>
      <c r="H42" s="76">
        <v>1.0</v>
      </c>
      <c r="J42" s="44" t="s">
        <v>44</v>
      </c>
      <c r="K42" s="40" t="s">
        <v>45</v>
      </c>
      <c r="L42" s="76">
        <v>1.0</v>
      </c>
      <c r="M42" s="76">
        <v>1.0</v>
      </c>
      <c r="N42" s="76">
        <v>1.0</v>
      </c>
      <c r="O42" s="76">
        <v>1.0</v>
      </c>
      <c r="P42" s="76">
        <v>1.0</v>
      </c>
      <c r="Q42" s="76">
        <v>1.0</v>
      </c>
      <c r="S42" s="44" t="s">
        <v>44</v>
      </c>
      <c r="T42" s="40" t="s">
        <v>45</v>
      </c>
      <c r="U42" s="76">
        <v>1.0</v>
      </c>
      <c r="V42" s="76">
        <v>1.0</v>
      </c>
      <c r="W42" s="76">
        <v>1.0</v>
      </c>
      <c r="X42" s="76">
        <v>1.0</v>
      </c>
      <c r="Y42" s="76">
        <v>1.0</v>
      </c>
      <c r="Z42" s="76">
        <v>1.0</v>
      </c>
      <c r="AB42" s="115"/>
      <c r="AC42" s="105" t="s">
        <v>86</v>
      </c>
      <c r="AD42" s="59"/>
      <c r="AE42" s="106">
        <f>SUM(AC41:AI41)</f>
        <v>65.83333333</v>
      </c>
      <c r="AF42" s="107" t="s">
        <v>87</v>
      </c>
      <c r="AG42" s="62"/>
      <c r="AH42" s="103">
        <f>AVERAGE(AC41:AI41)</f>
        <v>9.404761905</v>
      </c>
      <c r="AI42" s="116"/>
    </row>
    <row r="43">
      <c r="A43" s="36" t="s">
        <v>145</v>
      </c>
      <c r="B43" s="34" t="s">
        <v>47</v>
      </c>
      <c r="C43" s="76">
        <v>1.0</v>
      </c>
      <c r="D43" s="76">
        <v>1.0</v>
      </c>
      <c r="E43" s="76">
        <v>1.0</v>
      </c>
      <c r="F43" s="76">
        <v>1.0</v>
      </c>
      <c r="G43" s="76">
        <v>1.0</v>
      </c>
      <c r="H43" s="76">
        <v>1.0</v>
      </c>
      <c r="J43" s="36" t="s">
        <v>146</v>
      </c>
      <c r="K43" s="34" t="s">
        <v>47</v>
      </c>
      <c r="L43" s="76">
        <v>1.0</v>
      </c>
      <c r="M43" s="76">
        <v>1.0</v>
      </c>
      <c r="N43" s="76">
        <v>1.0</v>
      </c>
      <c r="O43" s="76">
        <v>1.0</v>
      </c>
      <c r="P43" s="76">
        <v>1.0</v>
      </c>
      <c r="Q43" s="76">
        <v>1.0</v>
      </c>
      <c r="S43" s="38"/>
      <c r="T43" s="34" t="s">
        <v>47</v>
      </c>
      <c r="U43" s="76">
        <v>1.0</v>
      </c>
      <c r="V43" s="76">
        <v>1.0</v>
      </c>
      <c r="W43" s="76">
        <v>1.0</v>
      </c>
      <c r="X43" s="76">
        <v>1.0</v>
      </c>
      <c r="Y43" s="76">
        <v>1.0</v>
      </c>
      <c r="Z43" s="76">
        <v>1.0</v>
      </c>
      <c r="AI43" s="22"/>
    </row>
    <row r="44">
      <c r="A44" s="39"/>
      <c r="B44" s="40" t="s">
        <v>22</v>
      </c>
      <c r="C44" s="76">
        <v>1.0</v>
      </c>
      <c r="D44" s="76">
        <v>1.0</v>
      </c>
      <c r="E44" s="76">
        <v>1.0</v>
      </c>
      <c r="F44" s="76">
        <v>1.0</v>
      </c>
      <c r="G44" s="76">
        <v>1.0</v>
      </c>
      <c r="H44" s="76">
        <v>1.0</v>
      </c>
      <c r="J44" s="39"/>
      <c r="K44" s="40" t="s">
        <v>22</v>
      </c>
      <c r="L44" s="76">
        <v>1.0</v>
      </c>
      <c r="M44" s="76">
        <v>1.0</v>
      </c>
      <c r="N44" s="27">
        <v>2.0</v>
      </c>
      <c r="O44" s="74">
        <v>4.0</v>
      </c>
      <c r="P44" s="74">
        <v>4.0</v>
      </c>
      <c r="Q44" s="74">
        <v>4.0</v>
      </c>
      <c r="S44" s="39"/>
      <c r="T44" s="40" t="s">
        <v>22</v>
      </c>
      <c r="U44" s="76">
        <v>1.0</v>
      </c>
      <c r="V44" s="76">
        <v>1.0</v>
      </c>
      <c r="W44" s="76">
        <v>1.0</v>
      </c>
      <c r="X44" s="76">
        <v>1.0</v>
      </c>
      <c r="Y44" s="28">
        <v>3.0</v>
      </c>
      <c r="Z44" s="28">
        <v>3.0</v>
      </c>
      <c r="AI44" s="22"/>
    </row>
    <row r="45">
      <c r="A45" s="41">
        <f>COUNTIF(C34:H57,"=3")/6</f>
        <v>3</v>
      </c>
      <c r="B45" s="40" t="s">
        <v>50</v>
      </c>
      <c r="C45" s="76">
        <v>1.0</v>
      </c>
      <c r="D45" s="76">
        <v>1.0</v>
      </c>
      <c r="E45" s="76">
        <v>1.0</v>
      </c>
      <c r="F45" s="76">
        <v>1.0</v>
      </c>
      <c r="G45" s="27">
        <v>2.0</v>
      </c>
      <c r="H45" s="27">
        <v>2.0</v>
      </c>
      <c r="J45" s="41">
        <f>COUNTIF(L34:Q57,"=3")/6</f>
        <v>0</v>
      </c>
      <c r="K45" s="40" t="s">
        <v>50</v>
      </c>
      <c r="L45" s="74">
        <v>4.0</v>
      </c>
      <c r="M45" s="74">
        <v>4.0</v>
      </c>
      <c r="N45" s="74">
        <v>4.0</v>
      </c>
      <c r="O45" s="74">
        <v>4.0</v>
      </c>
      <c r="P45" s="74">
        <v>4.0</v>
      </c>
      <c r="Q45" s="27">
        <v>2.0</v>
      </c>
      <c r="S45" s="41">
        <f>COUNTIF(U34:Z57,"=3")/6</f>
        <v>1.5</v>
      </c>
      <c r="T45" s="40" t="s">
        <v>50</v>
      </c>
      <c r="U45" s="28">
        <v>3.0</v>
      </c>
      <c r="V45" s="28">
        <v>3.0</v>
      </c>
      <c r="W45" s="27">
        <v>2.0</v>
      </c>
      <c r="X45" s="27">
        <v>2.0</v>
      </c>
      <c r="Y45" s="27">
        <v>2.0</v>
      </c>
      <c r="Z45" s="27">
        <v>2.0</v>
      </c>
      <c r="AI45" s="22"/>
    </row>
    <row r="46">
      <c r="A46" s="87" t="s">
        <v>51</v>
      </c>
      <c r="B46" s="40" t="s">
        <v>52</v>
      </c>
      <c r="C46" s="75">
        <v>5.0</v>
      </c>
      <c r="D46" s="75">
        <v>5.0</v>
      </c>
      <c r="E46" s="75">
        <v>5.0</v>
      </c>
      <c r="F46" s="75">
        <v>5.0</v>
      </c>
      <c r="G46" s="75">
        <v>5.0</v>
      </c>
      <c r="H46" s="75">
        <v>5.0</v>
      </c>
      <c r="J46" s="87" t="s">
        <v>51</v>
      </c>
      <c r="K46" s="40" t="s">
        <v>52</v>
      </c>
      <c r="L46" s="27">
        <v>2.0</v>
      </c>
      <c r="M46" s="27">
        <v>2.0</v>
      </c>
      <c r="N46" s="27">
        <v>2.0</v>
      </c>
      <c r="O46" s="27">
        <v>2.0</v>
      </c>
      <c r="P46" s="27">
        <v>2.0</v>
      </c>
      <c r="Q46" s="75">
        <v>5.0</v>
      </c>
      <c r="S46" s="87" t="s">
        <v>51</v>
      </c>
      <c r="T46" s="40" t="s">
        <v>52</v>
      </c>
      <c r="U46" s="27">
        <v>2.0</v>
      </c>
      <c r="V46" s="27">
        <v>2.0</v>
      </c>
      <c r="W46" s="27">
        <v>2.0</v>
      </c>
      <c r="X46" s="27">
        <v>2.0</v>
      </c>
      <c r="Y46" s="27">
        <v>2.0</v>
      </c>
      <c r="Z46" s="27">
        <v>2.0</v>
      </c>
      <c r="AI46" s="22"/>
    </row>
    <row r="47">
      <c r="A47" s="89" t="s">
        <v>148</v>
      </c>
      <c r="B47" s="34" t="s">
        <v>54</v>
      </c>
      <c r="C47" s="75">
        <v>5.0</v>
      </c>
      <c r="D47" s="75">
        <v>5.0</v>
      </c>
      <c r="E47" s="75">
        <v>5.0</v>
      </c>
      <c r="F47" s="75">
        <v>5.0</v>
      </c>
      <c r="G47" s="75">
        <v>5.0</v>
      </c>
      <c r="H47" s="75">
        <v>5.0</v>
      </c>
      <c r="J47" s="89" t="s">
        <v>149</v>
      </c>
      <c r="K47" s="34" t="s">
        <v>54</v>
      </c>
      <c r="L47" s="75">
        <v>5.0</v>
      </c>
      <c r="M47" s="75">
        <v>5.0</v>
      </c>
      <c r="N47" s="75">
        <v>5.0</v>
      </c>
      <c r="O47" s="75">
        <v>5.0</v>
      </c>
      <c r="P47" s="75">
        <v>5.0</v>
      </c>
      <c r="Q47" s="75">
        <v>5.0</v>
      </c>
      <c r="S47" s="89"/>
      <c r="T47" s="34" t="s">
        <v>54</v>
      </c>
      <c r="U47" s="27">
        <v>2.0</v>
      </c>
      <c r="V47" s="27">
        <v>2.0</v>
      </c>
      <c r="W47" s="75">
        <v>5.0</v>
      </c>
      <c r="X47" s="75">
        <v>5.0</v>
      </c>
      <c r="Y47" s="75">
        <v>5.0</v>
      </c>
      <c r="Z47" s="75">
        <v>5.0</v>
      </c>
      <c r="AI47" s="22"/>
    </row>
    <row r="48">
      <c r="A48" s="93"/>
      <c r="B48" s="40" t="s">
        <v>58</v>
      </c>
      <c r="C48" s="75">
        <v>5.0</v>
      </c>
      <c r="D48" s="75">
        <v>5.0</v>
      </c>
      <c r="E48" s="75">
        <v>5.0</v>
      </c>
      <c r="F48" s="75">
        <v>5.0</v>
      </c>
      <c r="G48" s="75">
        <v>5.0</v>
      </c>
      <c r="H48" s="75">
        <v>5.0</v>
      </c>
      <c r="J48" s="93"/>
      <c r="K48" s="40" t="s">
        <v>58</v>
      </c>
      <c r="L48" s="75">
        <v>5.0</v>
      </c>
      <c r="M48" s="75">
        <v>5.0</v>
      </c>
      <c r="N48" s="75">
        <v>5.0</v>
      </c>
      <c r="O48" s="75">
        <v>5.0</v>
      </c>
      <c r="P48" s="75">
        <v>5.0</v>
      </c>
      <c r="Q48" s="75">
        <v>5.0</v>
      </c>
      <c r="S48" s="93"/>
      <c r="T48" s="40" t="s">
        <v>58</v>
      </c>
      <c r="U48" s="75">
        <v>5.0</v>
      </c>
      <c r="V48" s="75">
        <v>5.0</v>
      </c>
      <c r="W48" s="75">
        <v>5.0</v>
      </c>
      <c r="X48" s="75">
        <v>5.0</v>
      </c>
      <c r="Y48" s="75">
        <v>5.0</v>
      </c>
      <c r="Z48" s="75">
        <v>5.0</v>
      </c>
      <c r="AI48" s="22"/>
    </row>
    <row r="49">
      <c r="A49" s="41">
        <f>COUNTIF(C34:H57,"=4")/6</f>
        <v>2.5</v>
      </c>
      <c r="B49" s="40" t="s">
        <v>59</v>
      </c>
      <c r="C49" s="75">
        <v>5.0</v>
      </c>
      <c r="D49" s="75">
        <v>5.0</v>
      </c>
      <c r="E49" s="75">
        <v>5.0</v>
      </c>
      <c r="F49" s="75">
        <v>5.0</v>
      </c>
      <c r="G49" s="75">
        <v>5.0</v>
      </c>
      <c r="H49" s="75">
        <v>5.0</v>
      </c>
      <c r="J49" s="41">
        <f>COUNTIF(L34:Q57,"=4")/6</f>
        <v>1.333333333</v>
      </c>
      <c r="K49" s="40" t="s">
        <v>59</v>
      </c>
      <c r="L49" s="75">
        <v>5.0</v>
      </c>
      <c r="M49" s="75">
        <v>5.0</v>
      </c>
      <c r="N49" s="75">
        <v>5.0</v>
      </c>
      <c r="O49" s="75">
        <v>5.0</v>
      </c>
      <c r="P49" s="75">
        <v>5.0</v>
      </c>
      <c r="Q49" s="75">
        <v>5.0</v>
      </c>
      <c r="S49" s="41">
        <f>COUNTIF(U34:Z57,"=4")/6</f>
        <v>1</v>
      </c>
      <c r="T49" s="40" t="s">
        <v>59</v>
      </c>
      <c r="U49" s="75">
        <v>5.0</v>
      </c>
      <c r="V49" s="75">
        <v>5.0</v>
      </c>
      <c r="W49" s="75">
        <v>5.0</v>
      </c>
      <c r="X49" s="75">
        <v>5.0</v>
      </c>
      <c r="Y49" s="75">
        <v>5.0</v>
      </c>
      <c r="Z49" s="75">
        <v>5.0</v>
      </c>
      <c r="AI49" s="22"/>
    </row>
    <row r="50">
      <c r="A50" s="96" t="s">
        <v>60</v>
      </c>
      <c r="B50" s="40" t="s">
        <v>61</v>
      </c>
      <c r="C50" s="75">
        <v>5.0</v>
      </c>
      <c r="D50" s="75">
        <v>5.0</v>
      </c>
      <c r="E50" s="75">
        <v>5.0</v>
      </c>
      <c r="F50" s="75">
        <v>5.0</v>
      </c>
      <c r="G50" s="75">
        <v>5.0</v>
      </c>
      <c r="H50" s="75">
        <v>5.0</v>
      </c>
      <c r="J50" s="96" t="s">
        <v>60</v>
      </c>
      <c r="K50" s="40" t="s">
        <v>61</v>
      </c>
      <c r="L50" s="75">
        <v>5.0</v>
      </c>
      <c r="M50" s="75">
        <v>5.0</v>
      </c>
      <c r="N50" s="75">
        <v>5.0</v>
      </c>
      <c r="O50" s="75">
        <v>5.0</v>
      </c>
      <c r="P50" s="75">
        <v>5.0</v>
      </c>
      <c r="Q50" s="75">
        <v>5.0</v>
      </c>
      <c r="S50" s="96" t="s">
        <v>60</v>
      </c>
      <c r="T50" s="40" t="s">
        <v>61</v>
      </c>
      <c r="U50" s="75">
        <v>5.0</v>
      </c>
      <c r="V50" s="75">
        <v>5.0</v>
      </c>
      <c r="W50" s="75">
        <v>5.0</v>
      </c>
      <c r="X50" s="75">
        <v>5.0</v>
      </c>
      <c r="Y50" s="75">
        <v>5.0</v>
      </c>
      <c r="Z50" s="75">
        <v>5.0</v>
      </c>
      <c r="AI50" s="22"/>
    </row>
    <row r="51">
      <c r="A51" s="89" t="s">
        <v>150</v>
      </c>
      <c r="B51" s="34" t="s">
        <v>63</v>
      </c>
      <c r="C51" s="75">
        <v>5.0</v>
      </c>
      <c r="D51" s="75">
        <v>5.0</v>
      </c>
      <c r="E51" s="75">
        <v>5.0</v>
      </c>
      <c r="F51" s="75">
        <v>5.0</v>
      </c>
      <c r="G51" s="75">
        <v>5.0</v>
      </c>
      <c r="H51" s="75">
        <v>5.0</v>
      </c>
      <c r="J51" s="89" t="s">
        <v>151</v>
      </c>
      <c r="K51" s="34" t="s">
        <v>63</v>
      </c>
      <c r="L51" s="75">
        <v>5.0</v>
      </c>
      <c r="M51" s="75">
        <v>5.0</v>
      </c>
      <c r="N51" s="75">
        <v>5.0</v>
      </c>
      <c r="O51" s="75">
        <v>5.0</v>
      </c>
      <c r="P51" s="75">
        <v>5.0</v>
      </c>
      <c r="Q51" s="75">
        <v>5.0</v>
      </c>
      <c r="S51" s="89" t="s">
        <v>152</v>
      </c>
      <c r="T51" s="34" t="s">
        <v>63</v>
      </c>
      <c r="U51" s="75">
        <v>5.0</v>
      </c>
      <c r="V51" s="75">
        <v>5.0</v>
      </c>
      <c r="W51" s="75">
        <v>5.0</v>
      </c>
      <c r="X51" s="75">
        <v>5.0</v>
      </c>
      <c r="Y51" s="75">
        <v>5.0</v>
      </c>
      <c r="Z51" s="75">
        <v>5.0</v>
      </c>
      <c r="AI51" s="22"/>
    </row>
    <row r="52">
      <c r="A52" s="93"/>
      <c r="B52" s="40" t="s">
        <v>67</v>
      </c>
      <c r="C52" s="75">
        <v>5.0</v>
      </c>
      <c r="D52" s="75">
        <v>5.0</v>
      </c>
      <c r="E52" s="75">
        <v>5.0</v>
      </c>
      <c r="F52" s="75">
        <v>5.0</v>
      </c>
      <c r="G52" s="27">
        <v>2.0</v>
      </c>
      <c r="H52" s="27">
        <v>2.0</v>
      </c>
      <c r="J52" s="93"/>
      <c r="K52" s="40" t="s">
        <v>67</v>
      </c>
      <c r="L52" s="75">
        <v>5.0</v>
      </c>
      <c r="M52" s="75">
        <v>5.0</v>
      </c>
      <c r="N52" s="75">
        <v>5.0</v>
      </c>
      <c r="O52" s="75">
        <v>5.0</v>
      </c>
      <c r="P52" s="75">
        <v>5.0</v>
      </c>
      <c r="Q52" s="75">
        <v>5.0</v>
      </c>
      <c r="S52" s="93" t="s">
        <v>153</v>
      </c>
      <c r="T52" s="40" t="s">
        <v>67</v>
      </c>
      <c r="U52" s="75">
        <v>5.0</v>
      </c>
      <c r="V52" s="75">
        <v>5.0</v>
      </c>
      <c r="W52" s="75">
        <v>5.0</v>
      </c>
      <c r="X52" s="75">
        <v>5.0</v>
      </c>
      <c r="Y52" s="75">
        <v>5.0</v>
      </c>
      <c r="Z52" s="75">
        <v>5.0</v>
      </c>
      <c r="AI52" s="22"/>
    </row>
    <row r="53">
      <c r="A53" s="41">
        <f>COUNTIF(C34:H57,"=5")/6</f>
        <v>8.666666667</v>
      </c>
      <c r="B53" s="40" t="s">
        <v>68</v>
      </c>
      <c r="C53" s="74">
        <v>4.0</v>
      </c>
      <c r="D53" s="74">
        <v>4.0</v>
      </c>
      <c r="E53" s="74">
        <v>4.0</v>
      </c>
      <c r="F53" s="74">
        <v>4.0</v>
      </c>
      <c r="G53" s="74">
        <v>4.0</v>
      </c>
      <c r="H53" s="74">
        <v>4.0</v>
      </c>
      <c r="J53" s="41">
        <f>COUNTIF(L34:Q57,"=5")/6</f>
        <v>11.16666667</v>
      </c>
      <c r="K53" s="40" t="s">
        <v>68</v>
      </c>
      <c r="L53" s="75">
        <v>5.0</v>
      </c>
      <c r="M53" s="75">
        <v>5.0</v>
      </c>
      <c r="N53" s="75">
        <v>5.0</v>
      </c>
      <c r="O53" s="75">
        <v>5.0</v>
      </c>
      <c r="P53" s="75">
        <v>5.0</v>
      </c>
      <c r="Q53" s="75">
        <v>5.0</v>
      </c>
      <c r="S53" s="41">
        <f>COUNTIF(U34:Z57,"=5")/6</f>
        <v>9.833333333</v>
      </c>
      <c r="T53" s="40" t="s">
        <v>68</v>
      </c>
      <c r="U53" s="75">
        <v>5.0</v>
      </c>
      <c r="V53" s="75">
        <v>5.0</v>
      </c>
      <c r="W53" s="75">
        <v>5.0</v>
      </c>
      <c r="X53" s="75">
        <v>5.0</v>
      </c>
      <c r="Y53" s="75">
        <v>5.0</v>
      </c>
      <c r="Z53" s="75">
        <v>5.0</v>
      </c>
      <c r="AI53" s="22"/>
    </row>
    <row r="54">
      <c r="A54" s="48" t="s">
        <v>69</v>
      </c>
      <c r="B54" s="40" t="s">
        <v>23</v>
      </c>
      <c r="C54" s="74">
        <v>4.0</v>
      </c>
      <c r="D54" s="74">
        <v>4.0</v>
      </c>
      <c r="E54" s="74">
        <v>4.0</v>
      </c>
      <c r="F54" s="74">
        <v>4.0</v>
      </c>
      <c r="G54" s="74">
        <v>4.0</v>
      </c>
      <c r="H54" s="74">
        <v>4.0</v>
      </c>
      <c r="J54" s="48" t="s">
        <v>69</v>
      </c>
      <c r="K54" s="40" t="s">
        <v>23</v>
      </c>
      <c r="L54" s="75">
        <v>5.0</v>
      </c>
      <c r="M54" s="75">
        <v>5.0</v>
      </c>
      <c r="N54" s="75">
        <v>5.0</v>
      </c>
      <c r="O54" s="75">
        <v>5.0</v>
      </c>
      <c r="P54" s="75">
        <v>5.0</v>
      </c>
      <c r="Q54" s="75">
        <v>5.0</v>
      </c>
      <c r="S54" s="48" t="s">
        <v>69</v>
      </c>
      <c r="T54" s="40" t="s">
        <v>23</v>
      </c>
      <c r="U54" s="74">
        <v>4.0</v>
      </c>
      <c r="V54" s="74">
        <v>4.0</v>
      </c>
      <c r="W54" s="74">
        <v>4.0</v>
      </c>
      <c r="X54" s="74">
        <v>4.0</v>
      </c>
      <c r="Y54" s="74">
        <v>4.0</v>
      </c>
      <c r="Z54" s="74">
        <v>4.0</v>
      </c>
      <c r="AI54" s="22"/>
    </row>
    <row r="55">
      <c r="A55" s="93" t="s">
        <v>157</v>
      </c>
      <c r="B55" s="34" t="s">
        <v>70</v>
      </c>
      <c r="C55" s="74">
        <v>4.0</v>
      </c>
      <c r="D55" s="74">
        <v>4.0</v>
      </c>
      <c r="E55" s="74">
        <v>4.0</v>
      </c>
      <c r="F55" s="27">
        <v>2.0</v>
      </c>
      <c r="G55" s="27">
        <v>2.0</v>
      </c>
      <c r="H55" s="27">
        <v>2.0</v>
      </c>
      <c r="J55" s="93"/>
      <c r="K55" s="34" t="s">
        <v>70</v>
      </c>
      <c r="L55" s="75">
        <v>5.0</v>
      </c>
      <c r="M55" s="75">
        <v>5.0</v>
      </c>
      <c r="N55" s="75">
        <v>5.0</v>
      </c>
      <c r="O55" s="75">
        <v>5.0</v>
      </c>
      <c r="P55" s="75">
        <v>5.0</v>
      </c>
      <c r="Q55" s="75">
        <v>5.0</v>
      </c>
      <c r="S55" s="93"/>
      <c r="T55" s="34" t="s">
        <v>70</v>
      </c>
      <c r="U55" s="27">
        <v>2.0</v>
      </c>
      <c r="V55" s="27">
        <v>2.0</v>
      </c>
      <c r="W55" s="75">
        <v>5.0</v>
      </c>
      <c r="X55" s="75">
        <v>5.0</v>
      </c>
      <c r="Y55" s="75">
        <v>5.0</v>
      </c>
      <c r="Z55" s="75">
        <v>5.0</v>
      </c>
      <c r="AI55" s="22"/>
    </row>
    <row r="56">
      <c r="A56" s="97"/>
      <c r="B56" s="34" t="s">
        <v>72</v>
      </c>
      <c r="C56" s="27">
        <v>2.0</v>
      </c>
      <c r="D56" s="28">
        <v>3.0</v>
      </c>
      <c r="E56" s="28">
        <v>3.0</v>
      </c>
      <c r="F56" s="28">
        <v>3.0</v>
      </c>
      <c r="G56" s="28">
        <v>3.0</v>
      </c>
      <c r="H56" s="28">
        <v>3.0</v>
      </c>
      <c r="J56" s="97"/>
      <c r="K56" s="34" t="s">
        <v>72</v>
      </c>
      <c r="L56" s="75">
        <v>5.0</v>
      </c>
      <c r="M56" s="75">
        <v>5.0</v>
      </c>
      <c r="N56" s="75">
        <v>5.0</v>
      </c>
      <c r="O56" s="75">
        <v>5.0</v>
      </c>
      <c r="P56" s="75">
        <v>5.0</v>
      </c>
      <c r="Q56" s="75">
        <v>5.0</v>
      </c>
      <c r="S56" s="97"/>
      <c r="T56" s="34" t="s">
        <v>72</v>
      </c>
      <c r="U56" s="75">
        <v>5.0</v>
      </c>
      <c r="V56" s="75">
        <v>5.0</v>
      </c>
      <c r="W56" s="75">
        <v>5.0</v>
      </c>
      <c r="X56" s="75">
        <v>5.0</v>
      </c>
      <c r="Y56" s="75">
        <v>5.0</v>
      </c>
      <c r="Z56" s="75">
        <v>5.0</v>
      </c>
      <c r="AI56" s="22"/>
    </row>
    <row r="57">
      <c r="A57" s="98"/>
      <c r="B57" s="34" t="s">
        <v>73</v>
      </c>
      <c r="C57" s="28">
        <v>3.0</v>
      </c>
      <c r="D57" s="28">
        <v>3.0</v>
      </c>
      <c r="E57" s="28">
        <v>3.0</v>
      </c>
      <c r="F57" s="28">
        <v>3.0</v>
      </c>
      <c r="G57" s="28">
        <v>3.0</v>
      </c>
      <c r="H57" s="28">
        <v>3.0</v>
      </c>
      <c r="J57" s="98"/>
      <c r="K57" s="34" t="s">
        <v>73</v>
      </c>
      <c r="L57" s="75">
        <v>5.0</v>
      </c>
      <c r="M57" s="75">
        <v>5.0</v>
      </c>
      <c r="N57" s="75">
        <v>5.0</v>
      </c>
      <c r="O57" s="75">
        <v>5.0</v>
      </c>
      <c r="P57" s="75">
        <v>5.0</v>
      </c>
      <c r="Q57" s="75">
        <v>5.0</v>
      </c>
      <c r="S57" s="98"/>
      <c r="T57" s="34" t="s">
        <v>73</v>
      </c>
      <c r="U57" s="75">
        <v>5.0</v>
      </c>
      <c r="V57" s="75">
        <v>5.0</v>
      </c>
      <c r="W57" s="75">
        <v>5.0</v>
      </c>
      <c r="X57" s="75">
        <v>5.0</v>
      </c>
      <c r="Y57" s="75">
        <v>5.0</v>
      </c>
      <c r="Z57" s="75">
        <v>5.0</v>
      </c>
      <c r="AI57" s="22"/>
    </row>
    <row r="58">
      <c r="A58" s="99">
        <f>SUM(A37,A41,A45,A49,A53)</f>
        <v>24</v>
      </c>
      <c r="J58" s="99">
        <f>SUM(J37,J41,J45,J49,J53)</f>
        <v>24</v>
      </c>
      <c r="S58" s="99">
        <f>SUM(S37,S41,S45,S49,S53)</f>
        <v>24</v>
      </c>
      <c r="AI58" s="22"/>
    </row>
    <row r="59">
      <c r="A59" s="117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6"/>
    </row>
    <row r="60">
      <c r="A60" s="15" t="s">
        <v>118</v>
      </c>
      <c r="B60" s="16"/>
      <c r="C60" s="16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8"/>
    </row>
    <row r="61">
      <c r="A61" s="19"/>
      <c r="J61" s="20"/>
      <c r="S61" s="21"/>
      <c r="AB61" s="21"/>
      <c r="AI61" s="22"/>
    </row>
    <row r="62">
      <c r="A62" s="70" t="s">
        <v>158</v>
      </c>
      <c r="B62" s="72" t="s">
        <v>16</v>
      </c>
      <c r="C62" s="73"/>
      <c r="D62" s="76">
        <v>1.0</v>
      </c>
      <c r="E62" s="27">
        <v>2.0</v>
      </c>
      <c r="F62" s="28">
        <v>3.0</v>
      </c>
      <c r="G62" s="74">
        <v>4.0</v>
      </c>
      <c r="H62" s="75">
        <v>5.0</v>
      </c>
      <c r="J62" s="70" t="s">
        <v>159</v>
      </c>
      <c r="K62" s="72" t="s">
        <v>16</v>
      </c>
      <c r="L62" s="73"/>
      <c r="M62" s="76">
        <v>1.0</v>
      </c>
      <c r="N62" s="27">
        <v>2.0</v>
      </c>
      <c r="O62" s="28">
        <v>3.0</v>
      </c>
      <c r="P62" s="74">
        <v>4.0</v>
      </c>
      <c r="Q62" s="75">
        <v>5.0</v>
      </c>
      <c r="S62" s="70" t="s">
        <v>160</v>
      </c>
      <c r="T62" s="72" t="s">
        <v>16</v>
      </c>
      <c r="U62" s="73"/>
      <c r="V62" s="76">
        <v>1.0</v>
      </c>
      <c r="W62" s="27">
        <v>2.0</v>
      </c>
      <c r="X62" s="28">
        <v>3.0</v>
      </c>
      <c r="Y62" s="74">
        <v>4.0</v>
      </c>
      <c r="Z62" s="75">
        <v>5.0</v>
      </c>
      <c r="AB62" s="70" t="s">
        <v>162</v>
      </c>
      <c r="AC62" s="72" t="s">
        <v>16</v>
      </c>
      <c r="AD62" s="73"/>
      <c r="AE62" s="76">
        <v>1.0</v>
      </c>
      <c r="AF62" s="27">
        <v>2.0</v>
      </c>
      <c r="AG62" s="28">
        <v>3.0</v>
      </c>
      <c r="AH62" s="74">
        <v>4.0</v>
      </c>
      <c r="AI62" s="75">
        <v>5.0</v>
      </c>
    </row>
    <row r="63">
      <c r="A63" s="77" t="s">
        <v>20</v>
      </c>
      <c r="B63" s="78" t="s">
        <v>21</v>
      </c>
      <c r="C63" s="78" t="s">
        <v>22</v>
      </c>
      <c r="D63" s="78" t="s">
        <v>23</v>
      </c>
      <c r="E63" s="78" t="s">
        <v>24</v>
      </c>
      <c r="F63" s="78" t="s">
        <v>25</v>
      </c>
      <c r="G63" s="78" t="s">
        <v>26</v>
      </c>
      <c r="H63" s="78" t="s">
        <v>27</v>
      </c>
      <c r="J63" s="77" t="s">
        <v>20</v>
      </c>
      <c r="K63" s="78" t="s">
        <v>21</v>
      </c>
      <c r="L63" s="78" t="s">
        <v>22</v>
      </c>
      <c r="M63" s="78" t="s">
        <v>23</v>
      </c>
      <c r="N63" s="78" t="s">
        <v>24</v>
      </c>
      <c r="O63" s="78" t="s">
        <v>25</v>
      </c>
      <c r="P63" s="78" t="s">
        <v>26</v>
      </c>
      <c r="Q63" s="78" t="s">
        <v>27</v>
      </c>
      <c r="S63" s="77" t="s">
        <v>20</v>
      </c>
      <c r="T63" s="78" t="s">
        <v>21</v>
      </c>
      <c r="U63" s="78" t="s">
        <v>22</v>
      </c>
      <c r="V63" s="78" t="s">
        <v>23</v>
      </c>
      <c r="W63" s="78" t="s">
        <v>24</v>
      </c>
      <c r="X63" s="78" t="s">
        <v>25</v>
      </c>
      <c r="Y63" s="78" t="s">
        <v>26</v>
      </c>
      <c r="Z63" s="78" t="s">
        <v>27</v>
      </c>
      <c r="AB63" s="77" t="s">
        <v>20</v>
      </c>
      <c r="AC63" s="78" t="s">
        <v>21</v>
      </c>
      <c r="AD63" s="78" t="s">
        <v>22</v>
      </c>
      <c r="AE63" s="78" t="s">
        <v>23</v>
      </c>
      <c r="AF63" s="78" t="s">
        <v>24</v>
      </c>
      <c r="AG63" s="78" t="s">
        <v>25</v>
      </c>
      <c r="AH63" s="78" t="s">
        <v>26</v>
      </c>
      <c r="AI63" s="78" t="s">
        <v>27</v>
      </c>
    </row>
    <row r="64">
      <c r="A64" s="33" t="s">
        <v>28</v>
      </c>
      <c r="B64" s="34" t="s">
        <v>21</v>
      </c>
      <c r="C64" s="27">
        <v>2.0</v>
      </c>
      <c r="D64" s="27">
        <v>2.0</v>
      </c>
      <c r="E64" s="28">
        <v>3.0</v>
      </c>
      <c r="F64" s="28">
        <v>3.0</v>
      </c>
      <c r="G64" s="28">
        <v>3.0</v>
      </c>
      <c r="H64" s="28">
        <v>3.0</v>
      </c>
      <c r="J64" s="33" t="s">
        <v>28</v>
      </c>
      <c r="K64" s="34" t="s">
        <v>21</v>
      </c>
      <c r="L64" s="28">
        <v>3.0</v>
      </c>
      <c r="M64" s="28">
        <v>3.0</v>
      </c>
      <c r="N64" s="28">
        <v>3.0</v>
      </c>
      <c r="O64" s="28">
        <v>3.0</v>
      </c>
      <c r="P64" s="28">
        <v>3.0</v>
      </c>
      <c r="Q64" s="28">
        <v>3.0</v>
      </c>
      <c r="S64" s="35" t="s">
        <v>28</v>
      </c>
      <c r="T64" s="34" t="s">
        <v>21</v>
      </c>
      <c r="U64" s="75">
        <v>5.0</v>
      </c>
      <c r="V64" s="75">
        <v>5.0</v>
      </c>
      <c r="W64" s="75">
        <v>5.0</v>
      </c>
      <c r="X64" s="75">
        <v>5.0</v>
      </c>
      <c r="Y64" s="75">
        <v>5.0</v>
      </c>
      <c r="Z64" s="27">
        <v>2.0</v>
      </c>
      <c r="AB64" s="35" t="s">
        <v>28</v>
      </c>
      <c r="AC64" s="34" t="s">
        <v>21</v>
      </c>
      <c r="AD64" s="75">
        <v>5.0</v>
      </c>
      <c r="AE64" s="75">
        <v>5.0</v>
      </c>
      <c r="AF64" s="75">
        <v>5.0</v>
      </c>
      <c r="AG64" s="75">
        <v>5.0</v>
      </c>
      <c r="AH64" s="75">
        <v>5.0</v>
      </c>
      <c r="AI64" s="27">
        <v>2.0</v>
      </c>
    </row>
    <row r="65">
      <c r="A65" s="36" t="s">
        <v>163</v>
      </c>
      <c r="B65" s="34" t="s">
        <v>30</v>
      </c>
      <c r="C65" s="28">
        <v>3.0</v>
      </c>
      <c r="D65" s="28">
        <v>3.0</v>
      </c>
      <c r="E65" s="28">
        <v>3.0</v>
      </c>
      <c r="F65" s="28">
        <v>3.0</v>
      </c>
      <c r="G65" s="28">
        <v>3.0</v>
      </c>
      <c r="H65" s="28">
        <v>3.0</v>
      </c>
      <c r="I65" s="81" t="s">
        <v>31</v>
      </c>
      <c r="J65" s="36" t="s">
        <v>164</v>
      </c>
      <c r="K65" s="34" t="s">
        <v>30</v>
      </c>
      <c r="L65" s="76">
        <v>1.0</v>
      </c>
      <c r="M65" s="76">
        <v>1.0</v>
      </c>
      <c r="N65" s="76">
        <v>1.0</v>
      </c>
      <c r="O65" s="76">
        <v>1.0</v>
      </c>
      <c r="P65" s="76">
        <v>1.0</v>
      </c>
      <c r="Q65" s="76">
        <v>1.0</v>
      </c>
      <c r="S65" s="36" t="s">
        <v>165</v>
      </c>
      <c r="T65" s="34" t="s">
        <v>30</v>
      </c>
      <c r="U65" s="27">
        <v>2.0</v>
      </c>
      <c r="V65" s="27">
        <v>2.0</v>
      </c>
      <c r="W65" s="27">
        <v>2.0</v>
      </c>
      <c r="X65" s="27">
        <v>2.0</v>
      </c>
      <c r="Y65" s="27">
        <v>2.0</v>
      </c>
      <c r="Z65" s="28">
        <v>3.0</v>
      </c>
      <c r="AB65" s="38"/>
      <c r="AC65" s="34" t="s">
        <v>30</v>
      </c>
      <c r="AD65" s="27">
        <v>2.0</v>
      </c>
      <c r="AE65" s="74">
        <v>4.0</v>
      </c>
      <c r="AF65" s="74">
        <v>4.0</v>
      </c>
      <c r="AG65" s="74">
        <v>4.0</v>
      </c>
      <c r="AH65" s="74">
        <v>4.0</v>
      </c>
      <c r="AI65" s="74">
        <v>4.0</v>
      </c>
    </row>
    <row r="66">
      <c r="A66" s="39"/>
      <c r="B66" s="40" t="s">
        <v>33</v>
      </c>
      <c r="C66" s="28">
        <v>3.0</v>
      </c>
      <c r="D66" s="28">
        <v>3.0</v>
      </c>
      <c r="E66" s="28">
        <v>3.0</v>
      </c>
      <c r="F66" s="28">
        <v>3.0</v>
      </c>
      <c r="G66" s="28">
        <v>3.0</v>
      </c>
      <c r="H66" s="28">
        <v>3.0</v>
      </c>
      <c r="J66" s="39"/>
      <c r="K66" s="40" t="s">
        <v>33</v>
      </c>
      <c r="L66" s="76">
        <v>1.0</v>
      </c>
      <c r="M66" s="76">
        <v>1.0</v>
      </c>
      <c r="N66" s="76">
        <v>1.0</v>
      </c>
      <c r="O66" s="76">
        <v>1.0</v>
      </c>
      <c r="P66" s="76">
        <v>1.0</v>
      </c>
      <c r="Q66" s="76">
        <v>1.0</v>
      </c>
      <c r="S66" s="39"/>
      <c r="T66" s="40" t="s">
        <v>33</v>
      </c>
      <c r="U66" s="28">
        <v>3.0</v>
      </c>
      <c r="V66" s="28">
        <v>3.0</v>
      </c>
      <c r="W66" s="76">
        <v>1.0</v>
      </c>
      <c r="X66" s="76">
        <v>1.0</v>
      </c>
      <c r="Y66" s="76">
        <v>1.0</v>
      </c>
      <c r="Z66" s="76">
        <v>1.0</v>
      </c>
      <c r="AB66" s="39"/>
      <c r="AC66" s="40" t="s">
        <v>33</v>
      </c>
      <c r="AD66" s="74">
        <v>4.0</v>
      </c>
      <c r="AE66" s="74">
        <v>4.0</v>
      </c>
      <c r="AF66" s="27">
        <v>2.0</v>
      </c>
      <c r="AG66" s="27">
        <v>2.0</v>
      </c>
      <c r="AH66" s="74">
        <v>4.0</v>
      </c>
      <c r="AI66" s="74">
        <v>4.0</v>
      </c>
    </row>
    <row r="67">
      <c r="A67" s="41">
        <f>COUNTIF(C64:H87,"=1")/6</f>
        <v>1.666666667</v>
      </c>
      <c r="B67" s="40" t="s">
        <v>34</v>
      </c>
      <c r="C67" s="28">
        <v>3.0</v>
      </c>
      <c r="D67" s="28">
        <v>3.0</v>
      </c>
      <c r="E67" s="28">
        <v>3.0</v>
      </c>
      <c r="F67" s="28">
        <v>3.0</v>
      </c>
      <c r="G67" s="28">
        <v>3.0</v>
      </c>
      <c r="H67" s="28">
        <v>3.0</v>
      </c>
      <c r="J67" s="41">
        <f>COUNTIF(L64:Q87,"=1")/6</f>
        <v>5.166666667</v>
      </c>
      <c r="K67" s="40" t="s">
        <v>34</v>
      </c>
      <c r="L67" s="76">
        <v>1.0</v>
      </c>
      <c r="M67" s="76">
        <v>1.0</v>
      </c>
      <c r="N67" s="76">
        <v>1.0</v>
      </c>
      <c r="O67" s="76">
        <v>1.0</v>
      </c>
      <c r="P67" s="76">
        <v>1.0</v>
      </c>
      <c r="Q67" s="76">
        <v>1.0</v>
      </c>
      <c r="S67" s="41">
        <f>COUNTIF(U64:Z87,"=1")/6</f>
        <v>9.5</v>
      </c>
      <c r="T67" s="40" t="s">
        <v>34</v>
      </c>
      <c r="U67" s="76">
        <v>1.0</v>
      </c>
      <c r="V67" s="76">
        <v>1.0</v>
      </c>
      <c r="W67" s="76">
        <v>1.0</v>
      </c>
      <c r="X67" s="76">
        <v>1.0</v>
      </c>
      <c r="Y67" s="76">
        <v>1.0</v>
      </c>
      <c r="Z67" s="76">
        <v>1.0</v>
      </c>
      <c r="AB67" s="41">
        <f>COUNTIF(AD64:AI87,"=1")/6</f>
        <v>7.166666667</v>
      </c>
      <c r="AC67" s="40" t="s">
        <v>34</v>
      </c>
      <c r="AD67" s="74">
        <v>4.0</v>
      </c>
      <c r="AE67" s="74">
        <v>4.0</v>
      </c>
      <c r="AF67" s="74">
        <v>4.0</v>
      </c>
      <c r="AG67" s="74">
        <v>4.0</v>
      </c>
      <c r="AH67" s="74">
        <v>4.0</v>
      </c>
      <c r="AI67" s="74">
        <v>4.0</v>
      </c>
    </row>
    <row r="68">
      <c r="A68" s="42" t="s">
        <v>35</v>
      </c>
      <c r="B68" s="40" t="s">
        <v>36</v>
      </c>
      <c r="C68" s="28">
        <v>3.0</v>
      </c>
      <c r="D68" s="28">
        <v>3.0</v>
      </c>
      <c r="E68" s="28">
        <v>3.0</v>
      </c>
      <c r="F68" s="28">
        <v>3.0</v>
      </c>
      <c r="G68" s="28">
        <v>3.0</v>
      </c>
      <c r="H68" s="76">
        <v>1.0</v>
      </c>
      <c r="J68" s="42" t="s">
        <v>35</v>
      </c>
      <c r="K68" s="40" t="s">
        <v>36</v>
      </c>
      <c r="L68" s="76">
        <v>1.0</v>
      </c>
      <c r="M68" s="76">
        <v>1.0</v>
      </c>
      <c r="N68" s="76">
        <v>1.0</v>
      </c>
      <c r="O68" s="76">
        <v>1.0</v>
      </c>
      <c r="P68" s="76">
        <v>1.0</v>
      </c>
      <c r="Q68" s="76">
        <v>1.0</v>
      </c>
      <c r="S68" s="42" t="s">
        <v>35</v>
      </c>
      <c r="T68" s="40" t="s">
        <v>36</v>
      </c>
      <c r="U68" s="76">
        <v>1.0</v>
      </c>
      <c r="V68" s="76">
        <v>1.0</v>
      </c>
      <c r="W68" s="76">
        <v>1.0</v>
      </c>
      <c r="X68" s="76">
        <v>1.0</v>
      </c>
      <c r="Y68" s="76">
        <v>1.0</v>
      </c>
      <c r="Z68" s="76">
        <v>1.0</v>
      </c>
      <c r="AB68" s="42" t="s">
        <v>35</v>
      </c>
      <c r="AC68" s="40" t="s">
        <v>36</v>
      </c>
      <c r="AD68" s="74">
        <v>4.0</v>
      </c>
      <c r="AE68" s="74">
        <v>4.0</v>
      </c>
      <c r="AF68" s="74">
        <v>4.0</v>
      </c>
      <c r="AG68" s="74">
        <v>4.0</v>
      </c>
      <c r="AH68" s="74">
        <v>4.0</v>
      </c>
      <c r="AI68" s="76">
        <v>1.0</v>
      </c>
    </row>
    <row r="69">
      <c r="A69" s="36" t="s">
        <v>166</v>
      </c>
      <c r="B69" s="34" t="s">
        <v>38</v>
      </c>
      <c r="C69" s="76">
        <v>1.0</v>
      </c>
      <c r="D69" s="76">
        <v>1.0</v>
      </c>
      <c r="E69" s="76">
        <v>1.0</v>
      </c>
      <c r="F69" s="76">
        <v>1.0</v>
      </c>
      <c r="G69" s="76">
        <v>1.0</v>
      </c>
      <c r="H69" s="76">
        <v>1.0</v>
      </c>
      <c r="J69" s="36" t="s">
        <v>167</v>
      </c>
      <c r="K69" s="34" t="s">
        <v>38</v>
      </c>
      <c r="L69" s="76">
        <v>1.0</v>
      </c>
      <c r="M69" s="76">
        <v>1.0</v>
      </c>
      <c r="N69" s="76">
        <v>1.0</v>
      </c>
      <c r="O69" s="76">
        <v>1.0</v>
      </c>
      <c r="P69" s="76">
        <v>1.0</v>
      </c>
      <c r="Q69" s="76">
        <v>1.0</v>
      </c>
      <c r="S69" s="68"/>
      <c r="T69" s="34" t="s">
        <v>38</v>
      </c>
      <c r="U69" s="76">
        <v>1.0</v>
      </c>
      <c r="V69" s="76">
        <v>1.0</v>
      </c>
      <c r="W69" s="76">
        <v>1.0</v>
      </c>
      <c r="X69" s="76">
        <v>1.0</v>
      </c>
      <c r="Y69" s="76">
        <v>1.0</v>
      </c>
      <c r="Z69" s="76">
        <v>1.0</v>
      </c>
      <c r="AB69" s="36" t="s">
        <v>168</v>
      </c>
      <c r="AC69" s="34" t="s">
        <v>38</v>
      </c>
      <c r="AD69" s="76">
        <v>1.0</v>
      </c>
      <c r="AE69" s="76">
        <v>1.0</v>
      </c>
      <c r="AF69" s="76">
        <v>1.0</v>
      </c>
      <c r="AG69" s="76">
        <v>1.0</v>
      </c>
      <c r="AH69" s="76">
        <v>1.0</v>
      </c>
      <c r="AI69" s="76">
        <v>1.0</v>
      </c>
    </row>
    <row r="70">
      <c r="A70" s="39"/>
      <c r="B70" s="40" t="s">
        <v>42</v>
      </c>
      <c r="C70" s="76">
        <v>1.0</v>
      </c>
      <c r="D70" s="76">
        <v>1.0</v>
      </c>
      <c r="E70" s="76">
        <v>1.0</v>
      </c>
      <c r="F70" s="27">
        <v>2.0</v>
      </c>
      <c r="G70" s="27">
        <v>2.0</v>
      </c>
      <c r="H70" s="27">
        <v>2.0</v>
      </c>
      <c r="J70" s="43" t="s">
        <v>169</v>
      </c>
      <c r="K70" s="40" t="s">
        <v>42</v>
      </c>
      <c r="L70" s="76">
        <v>1.0</v>
      </c>
      <c r="M70" s="27">
        <v>2.0</v>
      </c>
      <c r="N70" s="27">
        <v>2.0</v>
      </c>
      <c r="O70" s="27">
        <v>2.0</v>
      </c>
      <c r="P70" s="27">
        <v>2.0</v>
      </c>
      <c r="Q70" s="27">
        <v>2.0</v>
      </c>
      <c r="S70" s="39"/>
      <c r="T70" s="40" t="s">
        <v>42</v>
      </c>
      <c r="U70" s="76">
        <v>1.0</v>
      </c>
      <c r="V70" s="76">
        <v>1.0</v>
      </c>
      <c r="W70" s="76">
        <v>1.0</v>
      </c>
      <c r="X70" s="76">
        <v>1.0</v>
      </c>
      <c r="Y70" s="76">
        <v>1.0</v>
      </c>
      <c r="Z70" s="76">
        <v>1.0</v>
      </c>
      <c r="AB70" s="39"/>
      <c r="AC70" s="40" t="s">
        <v>42</v>
      </c>
      <c r="AD70" s="76">
        <v>1.0</v>
      </c>
      <c r="AE70" s="76">
        <v>1.0</v>
      </c>
      <c r="AF70" s="76">
        <v>1.0</v>
      </c>
      <c r="AG70" s="76">
        <v>1.0</v>
      </c>
      <c r="AH70" s="76">
        <v>1.0</v>
      </c>
      <c r="AI70" s="76">
        <v>1.0</v>
      </c>
    </row>
    <row r="71">
      <c r="A71" s="41">
        <f>COUNTIF(C64:H87,"=2")/6</f>
        <v>5.833333333</v>
      </c>
      <c r="B71" s="40" t="s">
        <v>43</v>
      </c>
      <c r="C71" s="27">
        <v>2.0</v>
      </c>
      <c r="D71" s="27">
        <v>2.0</v>
      </c>
      <c r="E71" s="27">
        <v>2.0</v>
      </c>
      <c r="F71" s="27">
        <v>2.0</v>
      </c>
      <c r="G71" s="27">
        <v>2.0</v>
      </c>
      <c r="H71" s="27">
        <v>2.0</v>
      </c>
      <c r="J71" s="41">
        <f>COUNTIF(L64:Q87,"=2")/6</f>
        <v>4</v>
      </c>
      <c r="K71" s="40" t="s">
        <v>43</v>
      </c>
      <c r="L71" s="27">
        <v>2.0</v>
      </c>
      <c r="M71" s="27">
        <v>2.0</v>
      </c>
      <c r="N71" s="74">
        <v>4.0</v>
      </c>
      <c r="O71" s="74">
        <v>4.0</v>
      </c>
      <c r="P71" s="74">
        <v>4.0</v>
      </c>
      <c r="Q71" s="74">
        <v>4.0</v>
      </c>
      <c r="S71" s="41">
        <f>COUNTIF(U64:Z87,"=2")/6</f>
        <v>2.833333333</v>
      </c>
      <c r="T71" s="40" t="s">
        <v>43</v>
      </c>
      <c r="U71" s="76">
        <v>1.0</v>
      </c>
      <c r="V71" s="76">
        <v>1.0</v>
      </c>
      <c r="W71" s="76">
        <v>1.0</v>
      </c>
      <c r="X71" s="76">
        <v>1.0</v>
      </c>
      <c r="Y71" s="76">
        <v>1.0</v>
      </c>
      <c r="Z71" s="76">
        <v>1.0</v>
      </c>
      <c r="AB71" s="41">
        <f>COUNTIF(AD64:AI87,"=2")/6</f>
        <v>3.666666667</v>
      </c>
      <c r="AC71" s="40" t="s">
        <v>43</v>
      </c>
      <c r="AD71" s="76">
        <v>1.0</v>
      </c>
      <c r="AE71" s="76">
        <v>1.0</v>
      </c>
      <c r="AF71" s="76">
        <v>1.0</v>
      </c>
      <c r="AG71" s="76">
        <v>1.0</v>
      </c>
      <c r="AH71" s="76">
        <v>1.0</v>
      </c>
      <c r="AI71" s="76">
        <v>1.0</v>
      </c>
    </row>
    <row r="72">
      <c r="A72" s="44" t="s">
        <v>44</v>
      </c>
      <c r="B72" s="40" t="s">
        <v>45</v>
      </c>
      <c r="C72" s="27">
        <v>2.0</v>
      </c>
      <c r="D72" s="27">
        <v>2.0</v>
      </c>
      <c r="E72" s="27">
        <v>2.0</v>
      </c>
      <c r="F72" s="27">
        <v>2.0</v>
      </c>
      <c r="G72" s="27">
        <v>2.0</v>
      </c>
      <c r="H72" s="27">
        <v>2.0</v>
      </c>
      <c r="J72" s="44" t="s">
        <v>44</v>
      </c>
      <c r="K72" s="40" t="s">
        <v>45</v>
      </c>
      <c r="L72" s="74">
        <v>4.0</v>
      </c>
      <c r="M72" s="74">
        <v>4.0</v>
      </c>
      <c r="N72" s="74">
        <v>4.0</v>
      </c>
      <c r="O72" s="74">
        <v>4.0</v>
      </c>
      <c r="P72" s="27">
        <v>2.0</v>
      </c>
      <c r="Q72" s="27">
        <v>2.0</v>
      </c>
      <c r="S72" s="44" t="s">
        <v>44</v>
      </c>
      <c r="T72" s="40" t="s">
        <v>45</v>
      </c>
      <c r="U72" s="76">
        <v>1.0</v>
      </c>
      <c r="V72" s="76">
        <v>1.0</v>
      </c>
      <c r="W72" s="76">
        <v>1.0</v>
      </c>
      <c r="X72" s="76">
        <v>1.0</v>
      </c>
      <c r="Y72" s="76">
        <v>1.0</v>
      </c>
      <c r="Z72" s="76">
        <v>1.0</v>
      </c>
      <c r="AB72" s="44" t="s">
        <v>44</v>
      </c>
      <c r="AC72" s="40" t="s">
        <v>45</v>
      </c>
      <c r="AD72" s="76">
        <v>1.0</v>
      </c>
      <c r="AE72" s="76">
        <v>1.0</v>
      </c>
      <c r="AF72" s="76">
        <v>1.0</v>
      </c>
      <c r="AG72" s="76">
        <v>1.0</v>
      </c>
      <c r="AH72" s="76">
        <v>1.0</v>
      </c>
      <c r="AI72" s="76">
        <v>1.0</v>
      </c>
    </row>
    <row r="73">
      <c r="A73" s="36" t="s">
        <v>170</v>
      </c>
      <c r="B73" s="34" t="s">
        <v>47</v>
      </c>
      <c r="C73" s="74">
        <v>4.0</v>
      </c>
      <c r="D73" s="74">
        <v>4.0</v>
      </c>
      <c r="E73" s="74">
        <v>4.0</v>
      </c>
      <c r="F73" s="74">
        <v>4.0</v>
      </c>
      <c r="G73" s="74">
        <v>4.0</v>
      </c>
      <c r="H73" s="74">
        <v>4.0</v>
      </c>
      <c r="J73" s="38"/>
      <c r="K73" s="34" t="s">
        <v>47</v>
      </c>
      <c r="L73" s="74">
        <v>4.0</v>
      </c>
      <c r="M73" s="74">
        <v>4.0</v>
      </c>
      <c r="N73" s="74">
        <v>4.0</v>
      </c>
      <c r="O73" s="74">
        <v>4.0</v>
      </c>
      <c r="P73" s="74">
        <v>4.0</v>
      </c>
      <c r="Q73" s="74">
        <v>4.0</v>
      </c>
      <c r="S73" s="36" t="s">
        <v>171</v>
      </c>
      <c r="T73" s="34" t="s">
        <v>47</v>
      </c>
      <c r="U73" s="76">
        <v>1.0</v>
      </c>
      <c r="V73" s="76">
        <v>1.0</v>
      </c>
      <c r="W73" s="76">
        <v>1.0</v>
      </c>
      <c r="X73" s="76">
        <v>1.0</v>
      </c>
      <c r="Y73" s="76">
        <v>1.0</v>
      </c>
      <c r="Z73" s="76">
        <v>1.0</v>
      </c>
      <c r="AB73" s="38"/>
      <c r="AC73" s="34" t="s">
        <v>47</v>
      </c>
      <c r="AD73" s="76">
        <v>1.0</v>
      </c>
      <c r="AE73" s="76">
        <v>1.0</v>
      </c>
      <c r="AF73" s="76">
        <v>1.0</v>
      </c>
      <c r="AG73" s="76">
        <v>1.0</v>
      </c>
      <c r="AH73" s="76">
        <v>1.0</v>
      </c>
      <c r="AI73" s="76">
        <v>1.0</v>
      </c>
    </row>
    <row r="74">
      <c r="A74" s="39"/>
      <c r="B74" s="40" t="s">
        <v>22</v>
      </c>
      <c r="C74" s="74">
        <v>4.0</v>
      </c>
      <c r="D74" s="74">
        <v>4.0</v>
      </c>
      <c r="E74" s="74">
        <v>4.0</v>
      </c>
      <c r="F74" s="74">
        <v>4.0</v>
      </c>
      <c r="G74" s="74">
        <v>4.0</v>
      </c>
      <c r="H74" s="74">
        <v>4.0</v>
      </c>
      <c r="J74" s="39"/>
      <c r="K74" s="40" t="s">
        <v>22</v>
      </c>
      <c r="L74" s="74">
        <v>4.0</v>
      </c>
      <c r="M74" s="74">
        <v>4.0</v>
      </c>
      <c r="N74" s="74">
        <v>4.0</v>
      </c>
      <c r="O74" s="74">
        <v>4.0</v>
      </c>
      <c r="P74" s="74">
        <v>4.0</v>
      </c>
      <c r="Q74" s="74">
        <v>4.0</v>
      </c>
      <c r="S74" s="39"/>
      <c r="T74" s="40" t="s">
        <v>22</v>
      </c>
      <c r="U74" s="76">
        <v>1.0</v>
      </c>
      <c r="V74" s="76">
        <v>1.0</v>
      </c>
      <c r="W74" s="76">
        <v>1.0</v>
      </c>
      <c r="X74" s="76">
        <v>1.0</v>
      </c>
      <c r="Y74" s="76">
        <v>1.0</v>
      </c>
      <c r="Z74" s="76">
        <v>1.0</v>
      </c>
      <c r="AB74" s="39"/>
      <c r="AC74" s="40" t="s">
        <v>22</v>
      </c>
      <c r="AD74" s="76">
        <v>1.0</v>
      </c>
      <c r="AE74" s="76">
        <v>1.0</v>
      </c>
      <c r="AF74" s="76">
        <v>1.0</v>
      </c>
      <c r="AG74" s="76">
        <v>1.0</v>
      </c>
      <c r="AH74" s="76">
        <v>1.0</v>
      </c>
      <c r="AI74" s="76">
        <v>1.0</v>
      </c>
    </row>
    <row r="75">
      <c r="A75" s="41">
        <f>COUNTIF(C64:H87,"=3")/6</f>
        <v>5.333333333</v>
      </c>
      <c r="B75" s="40" t="s">
        <v>50</v>
      </c>
      <c r="C75" s="74">
        <v>4.0</v>
      </c>
      <c r="D75" s="74">
        <v>4.0</v>
      </c>
      <c r="E75" s="74">
        <v>4.0</v>
      </c>
      <c r="F75" s="74">
        <v>4.0</v>
      </c>
      <c r="G75" s="74">
        <v>4.0</v>
      </c>
      <c r="H75" s="74">
        <v>4.0</v>
      </c>
      <c r="J75" s="41">
        <f>COUNTIF(L64:Q87,"=3")/6</f>
        <v>1</v>
      </c>
      <c r="K75" s="40" t="s">
        <v>50</v>
      </c>
      <c r="L75" s="74">
        <v>4.0</v>
      </c>
      <c r="M75" s="74">
        <v>4.0</v>
      </c>
      <c r="N75" s="74">
        <v>4.0</v>
      </c>
      <c r="O75" s="74">
        <v>4.0</v>
      </c>
      <c r="P75" s="74">
        <v>4.0</v>
      </c>
      <c r="Q75" s="74">
        <v>4.0</v>
      </c>
      <c r="S75" s="41">
        <f>COUNTIF(U64:Z87,"=3")/6</f>
        <v>1.666666667</v>
      </c>
      <c r="T75" s="40" t="s">
        <v>50</v>
      </c>
      <c r="U75" s="76">
        <v>1.0</v>
      </c>
      <c r="V75" s="76">
        <v>1.0</v>
      </c>
      <c r="W75" s="76">
        <v>1.0</v>
      </c>
      <c r="X75" s="76">
        <v>1.0</v>
      </c>
      <c r="Y75" s="76">
        <v>1.0</v>
      </c>
      <c r="Z75" s="27">
        <v>2.0</v>
      </c>
      <c r="AB75" s="41">
        <f>COUNTIF(AD64:AI87,"=3")/6</f>
        <v>0</v>
      </c>
      <c r="AC75" s="40" t="s">
        <v>50</v>
      </c>
      <c r="AD75" s="76">
        <v>1.0</v>
      </c>
      <c r="AE75" s="76">
        <v>1.0</v>
      </c>
      <c r="AF75" s="76">
        <v>1.0</v>
      </c>
      <c r="AG75" s="76">
        <v>1.0</v>
      </c>
      <c r="AH75" s="76">
        <v>1.0</v>
      </c>
      <c r="AI75" s="76">
        <v>1.0</v>
      </c>
    </row>
    <row r="76">
      <c r="A76" s="87" t="s">
        <v>51</v>
      </c>
      <c r="B76" s="40" t="s">
        <v>52</v>
      </c>
      <c r="C76" s="74">
        <v>4.0</v>
      </c>
      <c r="D76" s="74">
        <v>4.0</v>
      </c>
      <c r="E76" s="74">
        <v>4.0</v>
      </c>
      <c r="F76" s="74">
        <v>4.0</v>
      </c>
      <c r="G76" s="74">
        <v>4.0</v>
      </c>
      <c r="H76" s="74">
        <v>4.0</v>
      </c>
      <c r="J76" s="87" t="s">
        <v>51</v>
      </c>
      <c r="K76" s="40" t="s">
        <v>52</v>
      </c>
      <c r="L76" s="74">
        <v>4.0</v>
      </c>
      <c r="M76" s="74">
        <v>4.0</v>
      </c>
      <c r="N76" s="74">
        <v>4.0</v>
      </c>
      <c r="O76" s="74">
        <v>4.0</v>
      </c>
      <c r="P76" s="74">
        <v>4.0</v>
      </c>
      <c r="Q76" s="74">
        <v>4.0</v>
      </c>
      <c r="S76" s="87" t="s">
        <v>51</v>
      </c>
      <c r="T76" s="40" t="s">
        <v>52</v>
      </c>
      <c r="U76" s="27">
        <v>2.0</v>
      </c>
      <c r="V76" s="27">
        <v>2.0</v>
      </c>
      <c r="W76" s="27">
        <v>2.0</v>
      </c>
      <c r="X76" s="27">
        <v>2.0</v>
      </c>
      <c r="Y76" s="27">
        <v>2.0</v>
      </c>
      <c r="Z76" s="74">
        <v>4.0</v>
      </c>
      <c r="AB76" s="87" t="s">
        <v>51</v>
      </c>
      <c r="AC76" s="40" t="s">
        <v>52</v>
      </c>
      <c r="AD76" s="27">
        <v>2.0</v>
      </c>
      <c r="AE76" s="27">
        <v>2.0</v>
      </c>
      <c r="AF76" s="27">
        <v>2.0</v>
      </c>
      <c r="AG76" s="27">
        <v>2.0</v>
      </c>
      <c r="AH76" s="74">
        <v>4.0</v>
      </c>
      <c r="AI76" s="74">
        <v>4.0</v>
      </c>
    </row>
    <row r="77">
      <c r="A77" s="89" t="s">
        <v>172</v>
      </c>
      <c r="B77" s="34" t="s">
        <v>54</v>
      </c>
      <c r="C77" s="74">
        <v>4.0</v>
      </c>
      <c r="D77" s="74">
        <v>4.0</v>
      </c>
      <c r="E77" s="74">
        <v>4.0</v>
      </c>
      <c r="F77" s="74">
        <v>4.0</v>
      </c>
      <c r="G77" s="74">
        <v>4.0</v>
      </c>
      <c r="H77" s="74">
        <v>4.0</v>
      </c>
      <c r="J77" s="89" t="s">
        <v>173</v>
      </c>
      <c r="K77" s="34" t="s">
        <v>54</v>
      </c>
      <c r="L77" s="74">
        <v>4.0</v>
      </c>
      <c r="M77" s="74">
        <v>4.0</v>
      </c>
      <c r="N77" s="74">
        <v>4.0</v>
      </c>
      <c r="O77" s="74">
        <v>4.0</v>
      </c>
      <c r="P77" s="74">
        <v>4.0</v>
      </c>
      <c r="Q77" s="74">
        <v>4.0</v>
      </c>
      <c r="S77" s="89" t="s">
        <v>174</v>
      </c>
      <c r="T77" s="34" t="s">
        <v>54</v>
      </c>
      <c r="U77" s="74">
        <v>4.0</v>
      </c>
      <c r="V77" s="74">
        <v>4.0</v>
      </c>
      <c r="W77" s="74">
        <v>4.0</v>
      </c>
      <c r="X77" s="74">
        <v>4.0</v>
      </c>
      <c r="Y77" s="74">
        <v>4.0</v>
      </c>
      <c r="Z77" s="74">
        <v>4.0</v>
      </c>
      <c r="AB77" s="89" t="s">
        <v>175</v>
      </c>
      <c r="AC77" s="34" t="s">
        <v>54</v>
      </c>
      <c r="AD77" s="74">
        <v>4.0</v>
      </c>
      <c r="AE77" s="74">
        <v>4.0</v>
      </c>
      <c r="AF77" s="74">
        <v>4.0</v>
      </c>
      <c r="AG77" s="74">
        <v>4.0</v>
      </c>
      <c r="AH77" s="74">
        <v>4.0</v>
      </c>
      <c r="AI77" s="74">
        <v>4.0</v>
      </c>
    </row>
    <row r="78">
      <c r="A78" s="93"/>
      <c r="B78" s="40" t="s">
        <v>58</v>
      </c>
      <c r="C78" s="74">
        <v>4.0</v>
      </c>
      <c r="D78" s="74">
        <v>4.0</v>
      </c>
      <c r="E78" s="74">
        <v>4.0</v>
      </c>
      <c r="F78" s="74">
        <v>4.0</v>
      </c>
      <c r="G78" s="74">
        <v>4.0</v>
      </c>
      <c r="H78" s="74">
        <v>4.0</v>
      </c>
      <c r="J78" s="93" t="s">
        <v>176</v>
      </c>
      <c r="K78" s="40" t="s">
        <v>58</v>
      </c>
      <c r="L78" s="74">
        <v>4.0</v>
      </c>
      <c r="M78" s="74">
        <v>4.0</v>
      </c>
      <c r="N78" s="74">
        <v>4.0</v>
      </c>
      <c r="O78" s="74">
        <v>4.0</v>
      </c>
      <c r="P78" s="74">
        <v>4.0</v>
      </c>
      <c r="Q78" s="74">
        <v>4.0</v>
      </c>
      <c r="S78" s="93" t="s">
        <v>177</v>
      </c>
      <c r="T78" s="40" t="s">
        <v>58</v>
      </c>
      <c r="U78" s="74">
        <v>4.0</v>
      </c>
      <c r="V78" s="74">
        <v>4.0</v>
      </c>
      <c r="W78" s="74">
        <v>4.0</v>
      </c>
      <c r="X78" s="74">
        <v>4.0</v>
      </c>
      <c r="Y78" s="27">
        <v>2.0</v>
      </c>
      <c r="Z78" s="27">
        <v>2.0</v>
      </c>
      <c r="AB78" s="93" t="s">
        <v>178</v>
      </c>
      <c r="AC78" s="40" t="s">
        <v>58</v>
      </c>
      <c r="AD78" s="74">
        <v>4.0</v>
      </c>
      <c r="AE78" s="74">
        <v>4.0</v>
      </c>
      <c r="AF78" s="74">
        <v>4.0</v>
      </c>
      <c r="AG78" s="74">
        <v>4.0</v>
      </c>
      <c r="AH78" s="27">
        <v>2.0</v>
      </c>
      <c r="AI78" s="27">
        <v>2.0</v>
      </c>
    </row>
    <row r="79">
      <c r="A79" s="41">
        <f>COUNTIF(C64:H87,"=4")/6</f>
        <v>9</v>
      </c>
      <c r="B79" s="40" t="s">
        <v>59</v>
      </c>
      <c r="C79" s="74">
        <v>4.0</v>
      </c>
      <c r="D79" s="74">
        <v>4.0</v>
      </c>
      <c r="E79" s="74">
        <v>4.0</v>
      </c>
      <c r="F79" s="74">
        <v>4.0</v>
      </c>
      <c r="G79" s="74">
        <v>4.0</v>
      </c>
      <c r="H79" s="74">
        <v>4.0</v>
      </c>
      <c r="J79" s="41">
        <f>COUNTIF(L64:Q87,"=4")/6</f>
        <v>11.33333333</v>
      </c>
      <c r="K79" s="40" t="s">
        <v>59</v>
      </c>
      <c r="L79" s="74">
        <v>4.0</v>
      </c>
      <c r="M79" s="74">
        <v>4.0</v>
      </c>
      <c r="N79" s="74">
        <v>4.0</v>
      </c>
      <c r="O79" s="74">
        <v>4.0</v>
      </c>
      <c r="P79" s="74">
        <v>4.0</v>
      </c>
      <c r="Q79" s="74">
        <v>4.0</v>
      </c>
      <c r="S79" s="41">
        <f>COUNTIF(U64:Z87,"=4")/6</f>
        <v>4.833333333</v>
      </c>
      <c r="T79" s="40" t="s">
        <v>59</v>
      </c>
      <c r="U79" s="74">
        <v>4.0</v>
      </c>
      <c r="V79" s="74">
        <v>4.0</v>
      </c>
      <c r="W79" s="74">
        <v>4.0</v>
      </c>
      <c r="X79" s="74">
        <v>4.0</v>
      </c>
      <c r="Y79" s="74">
        <v>4.0</v>
      </c>
      <c r="Z79" s="74">
        <v>4.0</v>
      </c>
      <c r="AB79" s="41">
        <f>COUNTIF(AD64:AI87,"=4")/6</f>
        <v>6.666666667</v>
      </c>
      <c r="AC79" s="40" t="s">
        <v>59</v>
      </c>
      <c r="AD79" s="27">
        <v>2.0</v>
      </c>
      <c r="AE79" s="27">
        <v>2.0</v>
      </c>
      <c r="AF79" s="27">
        <v>2.0</v>
      </c>
      <c r="AG79" s="27">
        <v>2.0</v>
      </c>
      <c r="AH79" s="74">
        <v>4.0</v>
      </c>
      <c r="AI79" s="74">
        <v>4.0</v>
      </c>
    </row>
    <row r="80">
      <c r="A80" s="96" t="s">
        <v>60</v>
      </c>
      <c r="B80" s="40" t="s">
        <v>61</v>
      </c>
      <c r="C80" s="74">
        <v>4.0</v>
      </c>
      <c r="D80" s="74">
        <v>4.0</v>
      </c>
      <c r="E80" s="74">
        <v>4.0</v>
      </c>
      <c r="F80" s="74">
        <v>4.0</v>
      </c>
      <c r="G80" s="74">
        <v>4.0</v>
      </c>
      <c r="H80" s="74">
        <v>4.0</v>
      </c>
      <c r="J80" s="96" t="s">
        <v>60</v>
      </c>
      <c r="K80" s="40" t="s">
        <v>61</v>
      </c>
      <c r="L80" s="74">
        <v>4.0</v>
      </c>
      <c r="M80" s="74">
        <v>4.0</v>
      </c>
      <c r="N80" s="74">
        <v>4.0</v>
      </c>
      <c r="O80" s="74">
        <v>4.0</v>
      </c>
      <c r="P80" s="74">
        <v>4.0</v>
      </c>
      <c r="Q80" s="74">
        <v>4.0</v>
      </c>
      <c r="S80" s="96" t="s">
        <v>60</v>
      </c>
      <c r="T80" s="40" t="s">
        <v>61</v>
      </c>
      <c r="U80" s="74">
        <v>4.0</v>
      </c>
      <c r="V80" s="74">
        <v>4.0</v>
      </c>
      <c r="W80" s="74">
        <v>4.0</v>
      </c>
      <c r="X80" s="74">
        <v>4.0</v>
      </c>
      <c r="Y80" s="74">
        <v>4.0</v>
      </c>
      <c r="Z80" s="74">
        <v>4.0</v>
      </c>
      <c r="AB80" s="96" t="s">
        <v>60</v>
      </c>
      <c r="AC80" s="40" t="s">
        <v>61</v>
      </c>
      <c r="AD80" s="74">
        <v>4.0</v>
      </c>
      <c r="AE80" s="74">
        <v>4.0</v>
      </c>
      <c r="AF80" s="74">
        <v>4.0</v>
      </c>
      <c r="AG80" s="74">
        <v>4.0</v>
      </c>
      <c r="AH80" s="74">
        <v>4.0</v>
      </c>
      <c r="AI80" s="74">
        <v>4.0</v>
      </c>
    </row>
    <row r="81">
      <c r="A81" s="89" t="s">
        <v>180</v>
      </c>
      <c r="B81" s="34" t="s">
        <v>63</v>
      </c>
      <c r="C81" s="74">
        <v>4.0</v>
      </c>
      <c r="D81" s="74">
        <v>4.0</v>
      </c>
      <c r="E81" s="74">
        <v>4.0</v>
      </c>
      <c r="F81" s="74">
        <v>4.0</v>
      </c>
      <c r="G81" s="74">
        <v>4.0</v>
      </c>
      <c r="H81" s="74">
        <v>4.0</v>
      </c>
      <c r="J81" s="89" t="s">
        <v>181</v>
      </c>
      <c r="K81" s="34" t="s">
        <v>63</v>
      </c>
      <c r="L81" s="74">
        <v>4.0</v>
      </c>
      <c r="M81" s="74">
        <v>4.0</v>
      </c>
      <c r="N81" s="74">
        <v>4.0</v>
      </c>
      <c r="O81" s="74">
        <v>4.0</v>
      </c>
      <c r="P81" s="74">
        <v>4.0</v>
      </c>
      <c r="Q81" s="74">
        <v>4.0</v>
      </c>
      <c r="S81" s="89"/>
      <c r="T81" s="34" t="s">
        <v>63</v>
      </c>
      <c r="U81" s="74">
        <v>4.0</v>
      </c>
      <c r="V81" s="74">
        <v>4.0</v>
      </c>
      <c r="W81" s="74">
        <v>4.0</v>
      </c>
      <c r="X81" s="74">
        <v>4.0</v>
      </c>
      <c r="Y81" s="74">
        <v>4.0</v>
      </c>
      <c r="Z81" s="74">
        <v>4.0</v>
      </c>
      <c r="AB81" s="89"/>
      <c r="AC81" s="34" t="s">
        <v>63</v>
      </c>
      <c r="AD81" s="27">
        <v>2.0</v>
      </c>
      <c r="AE81" s="27">
        <v>2.0</v>
      </c>
      <c r="AF81" s="27">
        <v>2.0</v>
      </c>
      <c r="AG81" s="27">
        <v>2.0</v>
      </c>
      <c r="AH81" s="27">
        <v>2.0</v>
      </c>
      <c r="AI81" s="27">
        <v>2.0</v>
      </c>
    </row>
    <row r="82">
      <c r="A82" s="93"/>
      <c r="B82" s="40" t="s">
        <v>67</v>
      </c>
      <c r="C82" s="27">
        <v>2.0</v>
      </c>
      <c r="D82" s="27">
        <v>2.0</v>
      </c>
      <c r="E82" s="27">
        <v>2.0</v>
      </c>
      <c r="F82" s="27">
        <v>2.0</v>
      </c>
      <c r="G82" s="27">
        <v>2.0</v>
      </c>
      <c r="H82" s="27">
        <v>2.0</v>
      </c>
      <c r="J82" s="93"/>
      <c r="K82" s="40" t="s">
        <v>67</v>
      </c>
      <c r="L82" s="27">
        <v>2.0</v>
      </c>
      <c r="M82" s="27">
        <v>2.0</v>
      </c>
      <c r="N82" s="74">
        <v>4.0</v>
      </c>
      <c r="O82" s="74">
        <v>4.0</v>
      </c>
      <c r="P82" s="74">
        <v>4.0</v>
      </c>
      <c r="Q82" s="74">
        <v>4.0</v>
      </c>
      <c r="S82" s="93"/>
      <c r="T82" s="40" t="s">
        <v>67</v>
      </c>
      <c r="U82" s="27">
        <v>2.0</v>
      </c>
      <c r="V82" s="27">
        <v>2.0</v>
      </c>
      <c r="W82" s="27">
        <v>2.0</v>
      </c>
      <c r="X82" s="75">
        <v>5.0</v>
      </c>
      <c r="Y82" s="75">
        <v>5.0</v>
      </c>
      <c r="Z82" s="75">
        <v>5.0</v>
      </c>
      <c r="AB82" s="93"/>
      <c r="AC82" s="40" t="s">
        <v>67</v>
      </c>
      <c r="AD82" s="27">
        <v>2.0</v>
      </c>
      <c r="AE82" s="27">
        <v>2.0</v>
      </c>
      <c r="AF82" s="75">
        <v>5.0</v>
      </c>
      <c r="AG82" s="75">
        <v>5.0</v>
      </c>
      <c r="AH82" s="75">
        <v>5.0</v>
      </c>
      <c r="AI82" s="75">
        <v>5.0</v>
      </c>
    </row>
    <row r="83">
      <c r="A83" s="41">
        <f>COUNTIF(C64:H87,"=5")/6</f>
        <v>2.166666667</v>
      </c>
      <c r="B83" s="40" t="s">
        <v>68</v>
      </c>
      <c r="C83" s="27">
        <v>2.0</v>
      </c>
      <c r="D83" s="27">
        <v>2.0</v>
      </c>
      <c r="E83" s="27">
        <v>2.0</v>
      </c>
      <c r="F83" s="27">
        <v>2.0</v>
      </c>
      <c r="G83" s="27">
        <v>2.0</v>
      </c>
      <c r="H83" s="27">
        <v>2.0</v>
      </c>
      <c r="J83" s="41">
        <f>COUNTIF(L64:Q87,"=5")/6</f>
        <v>2.5</v>
      </c>
      <c r="K83" s="40" t="s">
        <v>68</v>
      </c>
      <c r="L83" s="27">
        <v>2.0</v>
      </c>
      <c r="M83" s="27">
        <v>2.0</v>
      </c>
      <c r="N83" s="27">
        <v>2.0</v>
      </c>
      <c r="O83" s="27">
        <v>2.0</v>
      </c>
      <c r="P83" s="74">
        <v>4.0</v>
      </c>
      <c r="Q83" s="74">
        <v>4.0</v>
      </c>
      <c r="S83" s="41">
        <f>COUNTIF(U64:Z87,"=5")/6</f>
        <v>5.166666667</v>
      </c>
      <c r="T83" s="40" t="s">
        <v>68</v>
      </c>
      <c r="U83" s="75">
        <v>5.0</v>
      </c>
      <c r="V83" s="75">
        <v>5.0</v>
      </c>
      <c r="W83" s="75">
        <v>5.0</v>
      </c>
      <c r="X83" s="75">
        <v>5.0</v>
      </c>
      <c r="Y83" s="75">
        <v>5.0</v>
      </c>
      <c r="Z83" s="75">
        <v>5.0</v>
      </c>
      <c r="AB83" s="41">
        <f>COUNTIF(AD64:AI87,"=5")/6</f>
        <v>6.5</v>
      </c>
      <c r="AC83" s="40" t="s">
        <v>68</v>
      </c>
      <c r="AD83" s="75">
        <v>5.0</v>
      </c>
      <c r="AE83" s="75">
        <v>5.0</v>
      </c>
      <c r="AF83" s="75">
        <v>5.0</v>
      </c>
      <c r="AG83" s="75">
        <v>5.0</v>
      </c>
      <c r="AH83" s="75">
        <v>5.0</v>
      </c>
      <c r="AI83" s="75">
        <v>5.0</v>
      </c>
    </row>
    <row r="84">
      <c r="A84" s="48" t="s">
        <v>69</v>
      </c>
      <c r="B84" s="40" t="s">
        <v>23</v>
      </c>
      <c r="C84" s="27">
        <v>2.0</v>
      </c>
      <c r="D84" s="27">
        <v>2.0</v>
      </c>
      <c r="E84" s="27">
        <v>2.0</v>
      </c>
      <c r="F84" s="27">
        <v>2.0</v>
      </c>
      <c r="G84" s="27">
        <v>2.0</v>
      </c>
      <c r="H84" s="27">
        <v>2.0</v>
      </c>
      <c r="J84" s="48" t="s">
        <v>69</v>
      </c>
      <c r="K84" s="40" t="s">
        <v>23</v>
      </c>
      <c r="L84" s="27">
        <v>2.0</v>
      </c>
      <c r="M84" s="27">
        <v>2.0</v>
      </c>
      <c r="N84" s="27">
        <v>2.0</v>
      </c>
      <c r="O84" s="27">
        <v>2.0</v>
      </c>
      <c r="P84" s="27">
        <v>2.0</v>
      </c>
      <c r="Q84" s="27">
        <v>2.0</v>
      </c>
      <c r="S84" s="48" t="s">
        <v>69</v>
      </c>
      <c r="T84" s="40" t="s">
        <v>23</v>
      </c>
      <c r="U84" s="75">
        <v>5.0</v>
      </c>
      <c r="V84" s="75">
        <v>5.0</v>
      </c>
      <c r="W84" s="75">
        <v>5.0</v>
      </c>
      <c r="X84" s="75">
        <v>5.0</v>
      </c>
      <c r="Y84" s="75">
        <v>5.0</v>
      </c>
      <c r="Z84" s="75">
        <v>5.0</v>
      </c>
      <c r="AB84" s="48" t="s">
        <v>69</v>
      </c>
      <c r="AC84" s="40" t="s">
        <v>23</v>
      </c>
      <c r="AD84" s="75">
        <v>5.0</v>
      </c>
      <c r="AE84" s="75">
        <v>5.0</v>
      </c>
      <c r="AF84" s="75">
        <v>5.0</v>
      </c>
      <c r="AG84" s="75">
        <v>5.0</v>
      </c>
      <c r="AH84" s="75">
        <v>5.0</v>
      </c>
      <c r="AI84" s="75">
        <v>5.0</v>
      </c>
    </row>
    <row r="85">
      <c r="A85" s="93"/>
      <c r="B85" s="34" t="s">
        <v>70</v>
      </c>
      <c r="C85" s="75">
        <v>5.0</v>
      </c>
      <c r="D85" s="75">
        <v>5.0</v>
      </c>
      <c r="E85" s="75">
        <v>5.0</v>
      </c>
      <c r="F85" s="75">
        <v>5.0</v>
      </c>
      <c r="G85" s="75">
        <v>5.0</v>
      </c>
      <c r="H85" s="75">
        <v>5.0</v>
      </c>
      <c r="J85" s="93" t="s">
        <v>183</v>
      </c>
      <c r="K85" s="34" t="s">
        <v>70</v>
      </c>
      <c r="L85" s="27">
        <v>2.0</v>
      </c>
      <c r="M85" s="27">
        <v>2.0</v>
      </c>
      <c r="N85" s="27">
        <v>2.0</v>
      </c>
      <c r="O85" s="75">
        <v>5.0</v>
      </c>
      <c r="P85" s="75">
        <v>5.0</v>
      </c>
      <c r="Q85" s="75">
        <v>5.0</v>
      </c>
      <c r="S85" s="93"/>
      <c r="T85" s="34" t="s">
        <v>70</v>
      </c>
      <c r="U85" s="75">
        <v>5.0</v>
      </c>
      <c r="V85" s="75">
        <v>5.0</v>
      </c>
      <c r="W85" s="75">
        <v>5.0</v>
      </c>
      <c r="X85" s="75">
        <v>5.0</v>
      </c>
      <c r="Y85" s="75">
        <v>5.0</v>
      </c>
      <c r="Z85" s="28">
        <v>3.0</v>
      </c>
      <c r="AB85" s="93"/>
      <c r="AC85" s="34" t="s">
        <v>70</v>
      </c>
      <c r="AD85" s="75">
        <v>5.0</v>
      </c>
      <c r="AE85" s="75">
        <v>5.0</v>
      </c>
      <c r="AF85" s="75">
        <v>5.0</v>
      </c>
      <c r="AG85" s="75">
        <v>5.0</v>
      </c>
      <c r="AH85" s="75">
        <v>5.0</v>
      </c>
      <c r="AI85" s="75">
        <v>5.0</v>
      </c>
    </row>
    <row r="86">
      <c r="A86" s="97"/>
      <c r="B86" s="34" t="s">
        <v>72</v>
      </c>
      <c r="C86" s="75">
        <v>5.0</v>
      </c>
      <c r="D86" s="75">
        <v>5.0</v>
      </c>
      <c r="E86" s="75">
        <v>5.0</v>
      </c>
      <c r="F86" s="75">
        <v>5.0</v>
      </c>
      <c r="G86" s="75">
        <v>5.0</v>
      </c>
      <c r="H86" s="75">
        <v>5.0</v>
      </c>
      <c r="J86" s="97"/>
      <c r="K86" s="34" t="s">
        <v>72</v>
      </c>
      <c r="L86" s="75">
        <v>5.0</v>
      </c>
      <c r="M86" s="75">
        <v>5.0</v>
      </c>
      <c r="N86" s="75">
        <v>5.0</v>
      </c>
      <c r="O86" s="75">
        <v>5.0</v>
      </c>
      <c r="P86" s="75">
        <v>5.0</v>
      </c>
      <c r="Q86" s="75">
        <v>5.0</v>
      </c>
      <c r="S86" s="97"/>
      <c r="T86" s="34" t="s">
        <v>72</v>
      </c>
      <c r="U86" s="28">
        <v>3.0</v>
      </c>
      <c r="V86" s="28">
        <v>3.0</v>
      </c>
      <c r="W86" s="28">
        <v>3.0</v>
      </c>
      <c r="X86" s="28">
        <v>3.0</v>
      </c>
      <c r="Y86" s="28">
        <v>3.0</v>
      </c>
      <c r="Z86" s="28">
        <v>3.0</v>
      </c>
      <c r="AB86" s="97"/>
      <c r="AC86" s="34" t="s">
        <v>72</v>
      </c>
      <c r="AD86" s="75">
        <v>5.0</v>
      </c>
      <c r="AE86" s="75">
        <v>5.0</v>
      </c>
      <c r="AF86" s="75">
        <v>5.0</v>
      </c>
      <c r="AG86" s="75">
        <v>5.0</v>
      </c>
      <c r="AH86" s="75">
        <v>5.0</v>
      </c>
      <c r="AI86" s="75">
        <v>5.0</v>
      </c>
    </row>
    <row r="87">
      <c r="A87" s="98"/>
      <c r="B87" s="34" t="s">
        <v>73</v>
      </c>
      <c r="C87" s="75">
        <v>5.0</v>
      </c>
      <c r="D87" s="28">
        <v>3.0</v>
      </c>
      <c r="E87" s="28">
        <v>3.0</v>
      </c>
      <c r="F87" s="28">
        <v>3.0</v>
      </c>
      <c r="G87" s="28">
        <v>3.0</v>
      </c>
      <c r="H87" s="28">
        <v>3.0</v>
      </c>
      <c r="J87" s="98"/>
      <c r="K87" s="34" t="s">
        <v>73</v>
      </c>
      <c r="L87" s="75">
        <v>5.0</v>
      </c>
      <c r="M87" s="75">
        <v>5.0</v>
      </c>
      <c r="N87" s="75">
        <v>5.0</v>
      </c>
      <c r="O87" s="75">
        <v>5.0</v>
      </c>
      <c r="P87" s="75">
        <v>5.0</v>
      </c>
      <c r="Q87" s="75">
        <v>5.0</v>
      </c>
      <c r="S87" s="98"/>
      <c r="T87" s="34" t="s">
        <v>73</v>
      </c>
      <c r="U87" s="75">
        <v>5.0</v>
      </c>
      <c r="V87" s="75">
        <v>5.0</v>
      </c>
      <c r="W87" s="75">
        <v>5.0</v>
      </c>
      <c r="X87" s="75">
        <v>5.0</v>
      </c>
      <c r="Y87" s="75">
        <v>5.0</v>
      </c>
      <c r="Z87" s="75">
        <v>5.0</v>
      </c>
      <c r="AB87" s="98"/>
      <c r="AC87" s="34" t="s">
        <v>73</v>
      </c>
      <c r="AD87" s="75">
        <v>5.0</v>
      </c>
      <c r="AE87" s="75">
        <v>5.0</v>
      </c>
      <c r="AF87" s="75">
        <v>5.0</v>
      </c>
      <c r="AG87" s="75">
        <v>5.0</v>
      </c>
      <c r="AH87" s="75">
        <v>5.0</v>
      </c>
      <c r="AI87" s="75">
        <v>5.0</v>
      </c>
    </row>
    <row r="88">
      <c r="A88" s="99">
        <f>SUM(A67,A71,A75,A79,A83)</f>
        <v>24</v>
      </c>
      <c r="J88" s="99">
        <f>SUM(J67,J71,J75,J79,J83)</f>
        <v>24</v>
      </c>
      <c r="S88" s="99">
        <f>SUM(S67,S71,S75,S79,S83)</f>
        <v>24</v>
      </c>
      <c r="AB88" s="99">
        <f>SUM(AB67,AB71,AB75,AB79,AB83)</f>
        <v>24</v>
      </c>
      <c r="AI88" s="22"/>
    </row>
    <row r="89">
      <c r="A89" s="100"/>
      <c r="AI89" s="22"/>
    </row>
    <row r="90">
      <c r="A90" s="19"/>
      <c r="J90" s="21"/>
      <c r="S90" s="21"/>
      <c r="AI90" s="22"/>
    </row>
    <row r="91">
      <c r="A91" s="70" t="s">
        <v>188</v>
      </c>
      <c r="B91" s="72" t="s">
        <v>16</v>
      </c>
      <c r="C91" s="73"/>
      <c r="D91" s="76">
        <v>1.0</v>
      </c>
      <c r="E91" s="27">
        <v>2.0</v>
      </c>
      <c r="F91" s="28">
        <v>3.0</v>
      </c>
      <c r="G91" s="74">
        <v>4.0</v>
      </c>
      <c r="H91" s="75">
        <v>5.0</v>
      </c>
      <c r="J91" s="70" t="s">
        <v>189</v>
      </c>
      <c r="K91" s="72" t="s">
        <v>16</v>
      </c>
      <c r="L91" s="73"/>
      <c r="M91" s="76">
        <v>1.0</v>
      </c>
      <c r="N91" s="27">
        <v>2.0</v>
      </c>
      <c r="O91" s="28">
        <v>3.0</v>
      </c>
      <c r="P91" s="74">
        <v>4.0</v>
      </c>
      <c r="Q91" s="75">
        <v>5.0</v>
      </c>
      <c r="S91" s="70" t="s">
        <v>136</v>
      </c>
      <c r="T91" s="72" t="s">
        <v>16</v>
      </c>
      <c r="U91" s="73"/>
      <c r="V91" s="76">
        <v>1.0</v>
      </c>
      <c r="W91" s="27">
        <v>2.0</v>
      </c>
      <c r="X91" s="28">
        <v>3.0</v>
      </c>
      <c r="Y91" s="74">
        <v>4.0</v>
      </c>
      <c r="Z91" s="75">
        <v>5.0</v>
      </c>
      <c r="AB91" s="70" t="s">
        <v>77</v>
      </c>
      <c r="AC91" s="101" t="s">
        <v>78</v>
      </c>
      <c r="AD91" s="101" t="s">
        <v>79</v>
      </c>
      <c r="AE91" s="101" t="s">
        <v>80</v>
      </c>
      <c r="AF91" s="101" t="s">
        <v>81</v>
      </c>
      <c r="AG91" s="101" t="s">
        <v>82</v>
      </c>
      <c r="AH91" s="101" t="s">
        <v>83</v>
      </c>
      <c r="AI91" s="101" t="s">
        <v>84</v>
      </c>
    </row>
    <row r="92">
      <c r="A92" s="77" t="s">
        <v>20</v>
      </c>
      <c r="B92" s="78" t="s">
        <v>21</v>
      </c>
      <c r="C92" s="78" t="s">
        <v>22</v>
      </c>
      <c r="D92" s="78" t="s">
        <v>23</v>
      </c>
      <c r="E92" s="78" t="s">
        <v>24</v>
      </c>
      <c r="F92" s="78" t="s">
        <v>25</v>
      </c>
      <c r="G92" s="78" t="s">
        <v>26</v>
      </c>
      <c r="H92" s="78" t="s">
        <v>27</v>
      </c>
      <c r="J92" s="77" t="s">
        <v>20</v>
      </c>
      <c r="K92" s="78" t="s">
        <v>21</v>
      </c>
      <c r="L92" s="78" t="s">
        <v>22</v>
      </c>
      <c r="M92" s="78" t="s">
        <v>23</v>
      </c>
      <c r="N92" s="78" t="s">
        <v>24</v>
      </c>
      <c r="O92" s="78" t="s">
        <v>25</v>
      </c>
      <c r="P92" s="78" t="s">
        <v>26</v>
      </c>
      <c r="Q92" s="78" t="s">
        <v>27</v>
      </c>
      <c r="S92" s="77" t="s">
        <v>20</v>
      </c>
      <c r="T92" s="78" t="s">
        <v>21</v>
      </c>
      <c r="U92" s="78" t="s">
        <v>22</v>
      </c>
      <c r="V92" s="78" t="s">
        <v>23</v>
      </c>
      <c r="W92" s="78" t="s">
        <v>24</v>
      </c>
      <c r="X92" s="78" t="s">
        <v>25</v>
      </c>
      <c r="Y92" s="78" t="s">
        <v>26</v>
      </c>
      <c r="Z92" s="78" t="s">
        <v>27</v>
      </c>
      <c r="AB92" s="102" t="s">
        <v>85</v>
      </c>
      <c r="AC92" s="103">
        <f>A67</f>
        <v>1.666666667</v>
      </c>
      <c r="AD92" s="103">
        <f>J67</f>
        <v>5.166666667</v>
      </c>
      <c r="AE92" s="103">
        <f>S67</f>
        <v>9.5</v>
      </c>
      <c r="AF92" s="103">
        <f>AB67</f>
        <v>7.166666667</v>
      </c>
      <c r="AG92" s="103">
        <f>A96</f>
        <v>9.333333333</v>
      </c>
      <c r="AH92" s="103">
        <f>J96</f>
        <v>10.33333333</v>
      </c>
      <c r="AI92" s="103">
        <f>S96</f>
        <v>9.833333333</v>
      </c>
    </row>
    <row r="93">
      <c r="A93" s="33" t="s">
        <v>28</v>
      </c>
      <c r="B93" s="34" t="s">
        <v>21</v>
      </c>
      <c r="C93" s="27">
        <v>2.0</v>
      </c>
      <c r="D93" s="27">
        <v>2.0</v>
      </c>
      <c r="E93" s="28">
        <v>3.0</v>
      </c>
      <c r="F93" s="28">
        <v>3.0</v>
      </c>
      <c r="G93" s="28">
        <v>3.0</v>
      </c>
      <c r="H93" s="28">
        <v>3.0</v>
      </c>
      <c r="J93" s="33" t="s">
        <v>28</v>
      </c>
      <c r="K93" s="34" t="s">
        <v>21</v>
      </c>
      <c r="L93" s="74">
        <v>4.0</v>
      </c>
      <c r="M93" s="74">
        <v>4.0</v>
      </c>
      <c r="N93" s="74">
        <v>4.0</v>
      </c>
      <c r="O93" s="74">
        <v>4.0</v>
      </c>
      <c r="P93" s="74">
        <v>4.0</v>
      </c>
      <c r="Q93" s="74">
        <v>4.0</v>
      </c>
      <c r="S93" s="35" t="s">
        <v>28</v>
      </c>
      <c r="T93" s="34" t="s">
        <v>21</v>
      </c>
      <c r="U93" s="27">
        <v>2.0</v>
      </c>
      <c r="V93" s="27">
        <v>2.0</v>
      </c>
      <c r="W93" s="28">
        <v>3.0</v>
      </c>
      <c r="X93" s="28">
        <v>3.0</v>
      </c>
      <c r="Y93" s="28">
        <v>3.0</v>
      </c>
      <c r="Z93" s="28">
        <v>3.0</v>
      </c>
      <c r="AB93" s="104"/>
      <c r="AC93" s="105" t="s">
        <v>86</v>
      </c>
      <c r="AD93" s="59"/>
      <c r="AE93" s="106">
        <f>SUM(AC92:AI92)</f>
        <v>53</v>
      </c>
      <c r="AF93" s="107" t="s">
        <v>87</v>
      </c>
      <c r="AG93" s="62"/>
      <c r="AH93" s="103">
        <f>AVERAGE(AC92:AI92)</f>
        <v>7.571428571</v>
      </c>
      <c r="AI93" s="22"/>
    </row>
    <row r="94">
      <c r="A94" s="38"/>
      <c r="B94" s="34" t="s">
        <v>30</v>
      </c>
      <c r="C94" s="28">
        <v>3.0</v>
      </c>
      <c r="D94" s="28">
        <v>3.0</v>
      </c>
      <c r="E94" s="28">
        <v>3.0</v>
      </c>
      <c r="F94" s="28">
        <v>3.0</v>
      </c>
      <c r="G94" s="76">
        <v>1.0</v>
      </c>
      <c r="H94" s="76">
        <v>1.0</v>
      </c>
      <c r="I94" s="81" t="s">
        <v>31</v>
      </c>
      <c r="J94" s="38"/>
      <c r="K94" s="34" t="s">
        <v>30</v>
      </c>
      <c r="L94" s="27">
        <v>2.0</v>
      </c>
      <c r="M94" s="27">
        <v>2.0</v>
      </c>
      <c r="N94" s="27">
        <v>2.0</v>
      </c>
      <c r="O94" s="27">
        <v>2.0</v>
      </c>
      <c r="P94" s="76">
        <v>1.0</v>
      </c>
      <c r="Q94" s="76">
        <v>1.0</v>
      </c>
      <c r="S94" s="38"/>
      <c r="T94" s="34" t="s">
        <v>30</v>
      </c>
      <c r="U94" s="28">
        <v>3.0</v>
      </c>
      <c r="V94" s="28">
        <v>3.0</v>
      </c>
      <c r="W94" s="28">
        <v>3.0</v>
      </c>
      <c r="X94" s="28">
        <v>3.0</v>
      </c>
      <c r="Y94" s="28">
        <v>3.0</v>
      </c>
      <c r="Z94" s="28">
        <v>3.0</v>
      </c>
      <c r="AB94" s="108" t="s">
        <v>88</v>
      </c>
      <c r="AC94" s="103">
        <f>A71</f>
        <v>5.833333333</v>
      </c>
      <c r="AD94" s="103">
        <f>J71</f>
        <v>4</v>
      </c>
      <c r="AE94" s="103">
        <f>S71</f>
        <v>2.833333333</v>
      </c>
      <c r="AF94" s="103">
        <f>AB71</f>
        <v>3.666666667</v>
      </c>
      <c r="AG94" s="103">
        <f>A100</f>
        <v>1</v>
      </c>
      <c r="AH94" s="103">
        <f>J100</f>
        <v>2.5</v>
      </c>
      <c r="AI94" s="103">
        <f>S100</f>
        <v>2.833333333</v>
      </c>
    </row>
    <row r="95">
      <c r="A95" s="39"/>
      <c r="B95" s="40" t="s">
        <v>33</v>
      </c>
      <c r="C95" s="76">
        <v>1.0</v>
      </c>
      <c r="D95" s="76">
        <v>1.0</v>
      </c>
      <c r="E95" s="76">
        <v>1.0</v>
      </c>
      <c r="F95" s="76">
        <v>1.0</v>
      </c>
      <c r="G95" s="76">
        <v>1.0</v>
      </c>
      <c r="H95" s="76">
        <v>1.0</v>
      </c>
      <c r="J95" s="39"/>
      <c r="K95" s="40" t="s">
        <v>33</v>
      </c>
      <c r="L95" s="76">
        <v>1.0</v>
      </c>
      <c r="M95" s="76">
        <v>1.0</v>
      </c>
      <c r="N95" s="76">
        <v>1.0</v>
      </c>
      <c r="O95" s="76">
        <v>1.0</v>
      </c>
      <c r="P95" s="76">
        <v>1.0</v>
      </c>
      <c r="Q95" s="76">
        <v>1.0</v>
      </c>
      <c r="S95" s="39"/>
      <c r="T95" s="40" t="s">
        <v>33</v>
      </c>
      <c r="U95" s="28">
        <v>3.0</v>
      </c>
      <c r="V95" s="76">
        <v>1.0</v>
      </c>
      <c r="W95" s="76">
        <v>1.0</v>
      </c>
      <c r="X95" s="76">
        <v>1.0</v>
      </c>
      <c r="Y95" s="76">
        <v>1.0</v>
      </c>
      <c r="Z95" s="76">
        <v>1.0</v>
      </c>
      <c r="AB95" s="109"/>
      <c r="AC95" s="105" t="s">
        <v>86</v>
      </c>
      <c r="AD95" s="59"/>
      <c r="AE95" s="106">
        <f>SUM(AC94:AI94)</f>
        <v>22.66666667</v>
      </c>
      <c r="AF95" s="107" t="s">
        <v>87</v>
      </c>
      <c r="AG95" s="62"/>
      <c r="AH95" s="103">
        <f>AVERAGE(AC94:AI94)</f>
        <v>3.238095238</v>
      </c>
      <c r="AI95" s="22"/>
    </row>
    <row r="96">
      <c r="A96" s="41">
        <f>COUNTIF(C93:H116,"=1")/6</f>
        <v>9.333333333</v>
      </c>
      <c r="B96" s="40" t="s">
        <v>34</v>
      </c>
      <c r="C96" s="76">
        <v>1.0</v>
      </c>
      <c r="D96" s="76">
        <v>1.0</v>
      </c>
      <c r="E96" s="76">
        <v>1.0</v>
      </c>
      <c r="F96" s="76">
        <v>1.0</v>
      </c>
      <c r="G96" s="76">
        <v>1.0</v>
      </c>
      <c r="H96" s="76">
        <v>1.0</v>
      </c>
      <c r="J96" s="41">
        <f>COUNTIF(L93:Q116,"=1")/6</f>
        <v>10.33333333</v>
      </c>
      <c r="K96" s="40" t="s">
        <v>34</v>
      </c>
      <c r="L96" s="76">
        <v>1.0</v>
      </c>
      <c r="M96" s="76">
        <v>1.0</v>
      </c>
      <c r="N96" s="76">
        <v>1.0</v>
      </c>
      <c r="O96" s="76">
        <v>1.0</v>
      </c>
      <c r="P96" s="76">
        <v>1.0</v>
      </c>
      <c r="Q96" s="76">
        <v>1.0</v>
      </c>
      <c r="S96" s="41">
        <f>COUNTIF(U93:Z116,"=1")/6</f>
        <v>9.833333333</v>
      </c>
      <c r="T96" s="40" t="s">
        <v>34</v>
      </c>
      <c r="U96" s="76">
        <v>1.0</v>
      </c>
      <c r="V96" s="76">
        <v>1.0</v>
      </c>
      <c r="W96" s="76">
        <v>1.0</v>
      </c>
      <c r="X96" s="76">
        <v>1.0</v>
      </c>
      <c r="Y96" s="76">
        <v>1.0</v>
      </c>
      <c r="Z96" s="76">
        <v>1.0</v>
      </c>
      <c r="AB96" s="110" t="s">
        <v>89</v>
      </c>
      <c r="AC96" s="103">
        <f>A75</f>
        <v>5.333333333</v>
      </c>
      <c r="AD96" s="103">
        <f>J75</f>
        <v>1</v>
      </c>
      <c r="AE96" s="103" t="str">
        <f>S77</f>
        <v>화장실 줄눈 보수</v>
      </c>
      <c r="AF96" s="103">
        <f>AB75</f>
        <v>0</v>
      </c>
      <c r="AG96" s="103">
        <f>A104</f>
        <v>2.166666667</v>
      </c>
      <c r="AH96" s="103">
        <f>J104</f>
        <v>1</v>
      </c>
      <c r="AI96" s="103">
        <f>S104</f>
        <v>1.833333333</v>
      </c>
    </row>
    <row r="97">
      <c r="A97" s="42" t="s">
        <v>35</v>
      </c>
      <c r="B97" s="40" t="s">
        <v>36</v>
      </c>
      <c r="C97" s="76">
        <v>1.0</v>
      </c>
      <c r="D97" s="76">
        <v>1.0</v>
      </c>
      <c r="E97" s="76">
        <v>1.0</v>
      </c>
      <c r="F97" s="76">
        <v>1.0</v>
      </c>
      <c r="G97" s="76">
        <v>1.0</v>
      </c>
      <c r="H97" s="76">
        <v>1.0</v>
      </c>
      <c r="J97" s="42" t="s">
        <v>35</v>
      </c>
      <c r="K97" s="40" t="s">
        <v>36</v>
      </c>
      <c r="L97" s="76">
        <v>1.0</v>
      </c>
      <c r="M97" s="76">
        <v>1.0</v>
      </c>
      <c r="N97" s="76">
        <v>1.0</v>
      </c>
      <c r="O97" s="76">
        <v>1.0</v>
      </c>
      <c r="P97" s="76">
        <v>1.0</v>
      </c>
      <c r="Q97" s="76">
        <v>1.0</v>
      </c>
      <c r="S97" s="42" t="s">
        <v>35</v>
      </c>
      <c r="T97" s="40" t="s">
        <v>36</v>
      </c>
      <c r="U97" s="76">
        <v>1.0</v>
      </c>
      <c r="V97" s="76">
        <v>1.0</v>
      </c>
      <c r="W97" s="76">
        <v>1.0</v>
      </c>
      <c r="X97" s="76">
        <v>1.0</v>
      </c>
      <c r="Y97" s="76">
        <v>1.0</v>
      </c>
      <c r="Z97" s="76">
        <v>1.0</v>
      </c>
      <c r="AB97" s="111"/>
      <c r="AC97" s="105" t="s">
        <v>86</v>
      </c>
      <c r="AD97" s="59"/>
      <c r="AE97" s="106">
        <f>SUM(AC96:AI96)</f>
        <v>11.33333333</v>
      </c>
      <c r="AF97" s="107" t="s">
        <v>87</v>
      </c>
      <c r="AG97" s="62"/>
      <c r="AH97" s="103">
        <f>AVERAGE(AC96:AI96)</f>
        <v>1.888888889</v>
      </c>
      <c r="AI97" s="22"/>
    </row>
    <row r="98">
      <c r="A98" s="68"/>
      <c r="B98" s="34" t="s">
        <v>38</v>
      </c>
      <c r="C98" s="76">
        <v>1.0</v>
      </c>
      <c r="D98" s="76">
        <v>1.0</v>
      </c>
      <c r="E98" s="76">
        <v>1.0</v>
      </c>
      <c r="F98" s="76">
        <v>1.0</v>
      </c>
      <c r="G98" s="76">
        <v>1.0</v>
      </c>
      <c r="H98" s="76">
        <v>1.0</v>
      </c>
      <c r="J98" s="68"/>
      <c r="K98" s="34" t="s">
        <v>38</v>
      </c>
      <c r="L98" s="76">
        <v>1.0</v>
      </c>
      <c r="M98" s="76">
        <v>1.0</v>
      </c>
      <c r="N98" s="76">
        <v>1.0</v>
      </c>
      <c r="O98" s="76">
        <v>1.0</v>
      </c>
      <c r="P98" s="76">
        <v>1.0</v>
      </c>
      <c r="Q98" s="76">
        <v>1.0</v>
      </c>
      <c r="S98" s="68"/>
      <c r="T98" s="34" t="s">
        <v>38</v>
      </c>
      <c r="U98" s="76">
        <v>1.0</v>
      </c>
      <c r="V98" s="76">
        <v>1.0</v>
      </c>
      <c r="W98" s="76">
        <v>1.0</v>
      </c>
      <c r="X98" s="76">
        <v>1.0</v>
      </c>
      <c r="Y98" s="76">
        <v>1.0</v>
      </c>
      <c r="Z98" s="76">
        <v>1.0</v>
      </c>
      <c r="AB98" s="112" t="s">
        <v>93</v>
      </c>
      <c r="AC98" s="103">
        <f>A79</f>
        <v>9</v>
      </c>
      <c r="AD98" s="103">
        <f>J79</f>
        <v>11.33333333</v>
      </c>
      <c r="AE98" s="103">
        <f>S79</f>
        <v>4.833333333</v>
      </c>
      <c r="AF98" s="103">
        <f>AB79</f>
        <v>6.666666667</v>
      </c>
      <c r="AG98" s="103">
        <f>A108</f>
        <v>6.5</v>
      </c>
      <c r="AH98" s="103">
        <f>J108</f>
        <v>5.333333333</v>
      </c>
      <c r="AI98" s="103">
        <f>S108</f>
        <v>2</v>
      </c>
    </row>
    <row r="99">
      <c r="A99" s="39"/>
      <c r="B99" s="40" t="s">
        <v>42</v>
      </c>
      <c r="C99" s="76">
        <v>1.0</v>
      </c>
      <c r="D99" s="76">
        <v>1.0</v>
      </c>
      <c r="E99" s="76">
        <v>1.0</v>
      </c>
      <c r="F99" s="76">
        <v>1.0</v>
      </c>
      <c r="G99" s="76">
        <v>1.0</v>
      </c>
      <c r="H99" s="76">
        <v>1.0</v>
      </c>
      <c r="J99" s="39"/>
      <c r="K99" s="40" t="s">
        <v>42</v>
      </c>
      <c r="L99" s="76">
        <v>1.0</v>
      </c>
      <c r="M99" s="76">
        <v>1.0</v>
      </c>
      <c r="N99" s="76">
        <v>1.0</v>
      </c>
      <c r="O99" s="76">
        <v>1.0</v>
      </c>
      <c r="P99" s="76">
        <v>1.0</v>
      </c>
      <c r="Q99" s="76">
        <v>1.0</v>
      </c>
      <c r="S99" s="39"/>
      <c r="T99" s="40" t="s">
        <v>42</v>
      </c>
      <c r="U99" s="76">
        <v>1.0</v>
      </c>
      <c r="V99" s="76">
        <v>1.0</v>
      </c>
      <c r="W99" s="76">
        <v>1.0</v>
      </c>
      <c r="X99" s="76">
        <v>1.0</v>
      </c>
      <c r="Y99" s="76">
        <v>1.0</v>
      </c>
      <c r="Z99" s="76">
        <v>1.0</v>
      </c>
      <c r="AB99" s="113"/>
      <c r="AC99" s="105" t="s">
        <v>86</v>
      </c>
      <c r="AD99" s="59"/>
      <c r="AE99" s="106">
        <f>SUM(AC98:AI98)</f>
        <v>45.66666667</v>
      </c>
      <c r="AF99" s="107" t="s">
        <v>87</v>
      </c>
      <c r="AG99" s="62"/>
      <c r="AH99" s="103">
        <f>AVERAGE(AC98:AI98)</f>
        <v>6.523809524</v>
      </c>
      <c r="AI99" s="22"/>
    </row>
    <row r="100">
      <c r="A100" s="41">
        <f>COUNTIF(C93:H116,"=2")/6</f>
        <v>1</v>
      </c>
      <c r="B100" s="40" t="s">
        <v>43</v>
      </c>
      <c r="C100" s="76">
        <v>1.0</v>
      </c>
      <c r="D100" s="76">
        <v>1.0</v>
      </c>
      <c r="E100" s="76">
        <v>1.0</v>
      </c>
      <c r="F100" s="76">
        <v>1.0</v>
      </c>
      <c r="G100" s="76">
        <v>1.0</v>
      </c>
      <c r="H100" s="76">
        <v>1.0</v>
      </c>
      <c r="J100" s="41">
        <f>COUNTIF(L93:Q116,"=2")/6</f>
        <v>2.5</v>
      </c>
      <c r="K100" s="40" t="s">
        <v>43</v>
      </c>
      <c r="L100" s="76">
        <v>1.0</v>
      </c>
      <c r="M100" s="76">
        <v>1.0</v>
      </c>
      <c r="N100" s="76">
        <v>1.0</v>
      </c>
      <c r="O100" s="76">
        <v>1.0</v>
      </c>
      <c r="P100" s="76">
        <v>1.0</v>
      </c>
      <c r="Q100" s="76">
        <v>1.0</v>
      </c>
      <c r="S100" s="41">
        <f>COUNTIF(U93:Z116,"=2")/6</f>
        <v>2.833333333</v>
      </c>
      <c r="T100" s="40" t="s">
        <v>43</v>
      </c>
      <c r="U100" s="76">
        <v>1.0</v>
      </c>
      <c r="V100" s="76">
        <v>1.0</v>
      </c>
      <c r="W100" s="76">
        <v>1.0</v>
      </c>
      <c r="X100" s="76">
        <v>1.0</v>
      </c>
      <c r="Y100" s="76">
        <v>1.0</v>
      </c>
      <c r="Z100" s="76">
        <v>1.0</v>
      </c>
      <c r="AB100" s="114" t="s">
        <v>98</v>
      </c>
      <c r="AC100" s="103">
        <f>A83</f>
        <v>2.166666667</v>
      </c>
      <c r="AD100" s="103">
        <f>J83</f>
        <v>2.5</v>
      </c>
      <c r="AE100" s="103">
        <f>S83</f>
        <v>5.166666667</v>
      </c>
      <c r="AF100" s="103">
        <f>AB83</f>
        <v>6.5</v>
      </c>
      <c r="AG100" s="103">
        <f>A112</f>
        <v>5</v>
      </c>
      <c r="AH100" s="103">
        <f>J112</f>
        <v>4.833333333</v>
      </c>
      <c r="AI100" s="103">
        <f>S112</f>
        <v>7.5</v>
      </c>
    </row>
    <row r="101">
      <c r="A101" s="44" t="s">
        <v>44</v>
      </c>
      <c r="B101" s="40" t="s">
        <v>45</v>
      </c>
      <c r="C101" s="76">
        <v>1.0</v>
      </c>
      <c r="D101" s="76">
        <v>1.0</v>
      </c>
      <c r="E101" s="76">
        <v>1.0</v>
      </c>
      <c r="F101" s="76">
        <v>1.0</v>
      </c>
      <c r="G101" s="76">
        <v>1.0</v>
      </c>
      <c r="H101" s="76">
        <v>1.0</v>
      </c>
      <c r="J101" s="44" t="s">
        <v>44</v>
      </c>
      <c r="K101" s="40" t="s">
        <v>45</v>
      </c>
      <c r="L101" s="76">
        <v>1.0</v>
      </c>
      <c r="M101" s="76">
        <v>1.0</v>
      </c>
      <c r="N101" s="76">
        <v>1.0</v>
      </c>
      <c r="O101" s="76">
        <v>1.0</v>
      </c>
      <c r="P101" s="76">
        <v>1.0</v>
      </c>
      <c r="Q101" s="76">
        <v>1.0</v>
      </c>
      <c r="S101" s="44" t="s">
        <v>44</v>
      </c>
      <c r="T101" s="40" t="s">
        <v>45</v>
      </c>
      <c r="U101" s="76">
        <v>1.0</v>
      </c>
      <c r="V101" s="76">
        <v>1.0</v>
      </c>
      <c r="W101" s="76">
        <v>1.0</v>
      </c>
      <c r="X101" s="76">
        <v>1.0</v>
      </c>
      <c r="Y101" s="76">
        <v>1.0</v>
      </c>
      <c r="Z101" s="76">
        <v>1.0</v>
      </c>
      <c r="AB101" s="115"/>
      <c r="AC101" s="105" t="s">
        <v>86</v>
      </c>
      <c r="AD101" s="59"/>
      <c r="AE101" s="106">
        <f>SUM(AC100:AI100)</f>
        <v>33.66666667</v>
      </c>
      <c r="AF101" s="107" t="s">
        <v>87</v>
      </c>
      <c r="AG101" s="62"/>
      <c r="AH101" s="103">
        <f>AVERAGE(AC100:AI100)</f>
        <v>4.80952381</v>
      </c>
      <c r="AI101" s="116"/>
    </row>
    <row r="102">
      <c r="A102" s="38"/>
      <c r="B102" s="34" t="s">
        <v>47</v>
      </c>
      <c r="C102" s="76">
        <v>1.0</v>
      </c>
      <c r="D102" s="76">
        <v>1.0</v>
      </c>
      <c r="E102" s="76">
        <v>1.0</v>
      </c>
      <c r="F102" s="76">
        <v>1.0</v>
      </c>
      <c r="G102" s="76">
        <v>1.0</v>
      </c>
      <c r="H102" s="76">
        <v>1.0</v>
      </c>
      <c r="J102" s="38"/>
      <c r="K102" s="34" t="s">
        <v>47</v>
      </c>
      <c r="L102" s="76">
        <v>1.0</v>
      </c>
      <c r="M102" s="76">
        <v>1.0</v>
      </c>
      <c r="N102" s="76">
        <v>1.0</v>
      </c>
      <c r="O102" s="76">
        <v>1.0</v>
      </c>
      <c r="P102" s="76">
        <v>1.0</v>
      </c>
      <c r="Q102" s="76">
        <v>1.0</v>
      </c>
      <c r="S102" s="38"/>
      <c r="T102" s="34" t="s">
        <v>47</v>
      </c>
      <c r="U102" s="76">
        <v>1.0</v>
      </c>
      <c r="V102" s="76">
        <v>1.0</v>
      </c>
      <c r="W102" s="76">
        <v>1.0</v>
      </c>
      <c r="X102" s="76">
        <v>1.0</v>
      </c>
      <c r="Y102" s="76">
        <v>1.0</v>
      </c>
      <c r="Z102" s="76">
        <v>1.0</v>
      </c>
      <c r="AI102" s="22"/>
    </row>
    <row r="103">
      <c r="A103" s="39"/>
      <c r="B103" s="40" t="s">
        <v>22</v>
      </c>
      <c r="C103" s="76">
        <v>1.0</v>
      </c>
      <c r="D103" s="76">
        <v>1.0</v>
      </c>
      <c r="E103" s="76">
        <v>1.0</v>
      </c>
      <c r="F103" s="76">
        <v>1.0</v>
      </c>
      <c r="G103" s="76">
        <v>1.0</v>
      </c>
      <c r="H103" s="76">
        <v>1.0</v>
      </c>
      <c r="J103" s="39"/>
      <c r="K103" s="40" t="s">
        <v>22</v>
      </c>
      <c r="L103" s="76">
        <v>1.0</v>
      </c>
      <c r="M103" s="76">
        <v>1.0</v>
      </c>
      <c r="N103" s="76">
        <v>1.0</v>
      </c>
      <c r="O103" s="76">
        <v>1.0</v>
      </c>
      <c r="P103" s="76">
        <v>1.0</v>
      </c>
      <c r="Q103" s="76">
        <v>1.0</v>
      </c>
      <c r="S103" s="39"/>
      <c r="T103" s="40" t="s">
        <v>22</v>
      </c>
      <c r="U103" s="76">
        <v>1.0</v>
      </c>
      <c r="V103" s="76">
        <v>1.0</v>
      </c>
      <c r="W103" s="76">
        <v>1.0</v>
      </c>
      <c r="X103" s="76">
        <v>1.0</v>
      </c>
      <c r="Y103" s="76">
        <v>1.0</v>
      </c>
      <c r="Z103" s="76">
        <v>1.0</v>
      </c>
      <c r="AI103" s="22"/>
    </row>
    <row r="104">
      <c r="A104" s="41">
        <f>COUNTIF(C93:H116,"=3")/6</f>
        <v>2.166666667</v>
      </c>
      <c r="B104" s="40" t="s">
        <v>50</v>
      </c>
      <c r="C104" s="28">
        <v>3.0</v>
      </c>
      <c r="D104" s="28">
        <v>3.0</v>
      </c>
      <c r="E104" s="28">
        <v>3.0</v>
      </c>
      <c r="F104" s="28">
        <v>3.0</v>
      </c>
      <c r="G104" s="28">
        <v>3.0</v>
      </c>
      <c r="H104" s="27">
        <v>2.0</v>
      </c>
      <c r="J104" s="41">
        <f>COUNTIF(L93:Q116,"=3")/6</f>
        <v>1</v>
      </c>
      <c r="K104" s="40" t="s">
        <v>50</v>
      </c>
      <c r="L104" s="76">
        <v>1.0</v>
      </c>
      <c r="M104" s="76">
        <v>1.0</v>
      </c>
      <c r="N104" s="76">
        <v>1.0</v>
      </c>
      <c r="O104" s="76">
        <v>1.0</v>
      </c>
      <c r="P104" s="76">
        <v>1.0</v>
      </c>
      <c r="Q104" s="76">
        <v>1.0</v>
      </c>
      <c r="S104" s="41">
        <f>COUNTIF(U93:Z116,"=3")/6</f>
        <v>1.833333333</v>
      </c>
      <c r="T104" s="40" t="s">
        <v>50</v>
      </c>
      <c r="U104" s="76">
        <v>1.0</v>
      </c>
      <c r="V104" s="76">
        <v>1.0</v>
      </c>
      <c r="W104" s="76">
        <v>1.0</v>
      </c>
      <c r="X104" s="76">
        <v>1.0</v>
      </c>
      <c r="Y104" s="76">
        <v>1.0</v>
      </c>
      <c r="Z104" s="76">
        <v>1.0</v>
      </c>
      <c r="AI104" s="22"/>
    </row>
    <row r="105">
      <c r="A105" s="87" t="s">
        <v>51</v>
      </c>
      <c r="B105" s="40" t="s">
        <v>52</v>
      </c>
      <c r="C105" s="74">
        <v>4.0</v>
      </c>
      <c r="D105" s="74">
        <v>4.0</v>
      </c>
      <c r="E105" s="74">
        <v>4.0</v>
      </c>
      <c r="F105" s="74">
        <v>4.0</v>
      </c>
      <c r="G105" s="74">
        <v>4.0</v>
      </c>
      <c r="H105" s="74">
        <v>4.0</v>
      </c>
      <c r="J105" s="87" t="s">
        <v>51</v>
      </c>
      <c r="K105" s="40" t="s">
        <v>52</v>
      </c>
      <c r="L105" s="28">
        <v>3.0</v>
      </c>
      <c r="M105" s="28">
        <v>3.0</v>
      </c>
      <c r="N105" s="28">
        <v>3.0</v>
      </c>
      <c r="O105" s="28">
        <v>3.0</v>
      </c>
      <c r="P105" s="28">
        <v>3.0</v>
      </c>
      <c r="Q105" s="27">
        <v>2.0</v>
      </c>
      <c r="S105" s="87" t="s">
        <v>51</v>
      </c>
      <c r="T105" s="40" t="s">
        <v>52</v>
      </c>
      <c r="U105" s="27">
        <v>2.0</v>
      </c>
      <c r="V105" s="27">
        <v>2.0</v>
      </c>
      <c r="W105" s="27">
        <v>2.0</v>
      </c>
      <c r="X105" s="74">
        <v>4.0</v>
      </c>
      <c r="Y105" s="74">
        <v>4.0</v>
      </c>
      <c r="Z105" s="74">
        <v>4.0</v>
      </c>
      <c r="AI105" s="22"/>
    </row>
    <row r="106">
      <c r="A106" s="89" t="s">
        <v>195</v>
      </c>
      <c r="B106" s="34" t="s">
        <v>54</v>
      </c>
      <c r="C106" s="74">
        <v>4.0</v>
      </c>
      <c r="D106" s="74">
        <v>4.0</v>
      </c>
      <c r="E106" s="74">
        <v>4.0</v>
      </c>
      <c r="F106" s="27">
        <v>2.0</v>
      </c>
      <c r="G106" s="27">
        <v>2.0</v>
      </c>
      <c r="H106" s="27">
        <v>2.0</v>
      </c>
      <c r="J106" s="89"/>
      <c r="K106" s="34" t="s">
        <v>54</v>
      </c>
      <c r="L106" s="27">
        <v>2.0</v>
      </c>
      <c r="M106" s="27">
        <v>2.0</v>
      </c>
      <c r="N106" s="27">
        <v>2.0</v>
      </c>
      <c r="O106" s="27">
        <v>2.0</v>
      </c>
      <c r="P106" s="74">
        <v>4.0</v>
      </c>
      <c r="Q106" s="74">
        <v>4.0</v>
      </c>
      <c r="S106" s="89"/>
      <c r="T106" s="34" t="s">
        <v>54</v>
      </c>
      <c r="U106" s="74">
        <v>4.0</v>
      </c>
      <c r="V106" s="74">
        <v>4.0</v>
      </c>
      <c r="W106" s="74">
        <v>4.0</v>
      </c>
      <c r="X106" s="74">
        <v>4.0</v>
      </c>
      <c r="Y106" s="74">
        <v>4.0</v>
      </c>
      <c r="Z106" s="74">
        <v>4.0</v>
      </c>
      <c r="AI106" s="22"/>
    </row>
    <row r="107">
      <c r="A107" s="93"/>
      <c r="B107" s="40" t="s">
        <v>58</v>
      </c>
      <c r="C107" s="75">
        <v>5.0</v>
      </c>
      <c r="D107" s="75">
        <v>5.0</v>
      </c>
      <c r="E107" s="75">
        <v>5.0</v>
      </c>
      <c r="F107" s="75">
        <v>5.0</v>
      </c>
      <c r="G107" s="75">
        <v>5.0</v>
      </c>
      <c r="H107" s="75">
        <v>5.0</v>
      </c>
      <c r="J107" s="93"/>
      <c r="K107" s="40" t="s">
        <v>58</v>
      </c>
      <c r="L107" s="74">
        <v>4.0</v>
      </c>
      <c r="M107" s="74">
        <v>4.0</v>
      </c>
      <c r="N107" s="74">
        <v>4.0</v>
      </c>
      <c r="O107" s="74">
        <v>4.0</v>
      </c>
      <c r="P107" s="74">
        <v>4.0</v>
      </c>
      <c r="Q107" s="74">
        <v>4.0</v>
      </c>
      <c r="S107" s="93"/>
      <c r="T107" s="40" t="s">
        <v>58</v>
      </c>
      <c r="U107" s="74">
        <v>4.0</v>
      </c>
      <c r="V107" s="74">
        <v>4.0</v>
      </c>
      <c r="W107" s="74">
        <v>4.0</v>
      </c>
      <c r="X107" s="27">
        <v>2.0</v>
      </c>
      <c r="Y107" s="27">
        <v>2.0</v>
      </c>
      <c r="Z107" s="27">
        <v>2.0</v>
      </c>
      <c r="AI107" s="22"/>
    </row>
    <row r="108">
      <c r="A108" s="41">
        <f>COUNTIF(C93:H116,"=4")/6</f>
        <v>6.5</v>
      </c>
      <c r="B108" s="40" t="s">
        <v>59</v>
      </c>
      <c r="C108" s="75">
        <v>5.0</v>
      </c>
      <c r="D108" s="75">
        <v>5.0</v>
      </c>
      <c r="E108" s="75">
        <v>5.0</v>
      </c>
      <c r="F108" s="75">
        <v>5.0</v>
      </c>
      <c r="G108" s="75">
        <v>5.0</v>
      </c>
      <c r="H108" s="75">
        <v>5.0</v>
      </c>
      <c r="J108" s="41">
        <f>COUNTIF(L93:Q116,"=4")/6</f>
        <v>5.333333333</v>
      </c>
      <c r="K108" s="40" t="s">
        <v>59</v>
      </c>
      <c r="L108" s="74">
        <v>4.0</v>
      </c>
      <c r="M108" s="74">
        <v>4.0</v>
      </c>
      <c r="N108" s="74">
        <v>4.0</v>
      </c>
      <c r="O108" s="74">
        <v>4.0</v>
      </c>
      <c r="P108" s="74">
        <v>4.0</v>
      </c>
      <c r="Q108" s="74">
        <v>4.0</v>
      </c>
      <c r="S108" s="41">
        <f>COUNTIF(U93:Z116,"=4")/6</f>
        <v>2</v>
      </c>
      <c r="T108" s="40" t="s">
        <v>59</v>
      </c>
      <c r="U108" s="27">
        <v>2.0</v>
      </c>
      <c r="V108" s="27">
        <v>2.0</v>
      </c>
      <c r="W108" s="27">
        <v>2.0</v>
      </c>
      <c r="X108" s="27">
        <v>2.0</v>
      </c>
      <c r="Y108" s="27">
        <v>2.0</v>
      </c>
      <c r="Z108" s="27">
        <v>2.0</v>
      </c>
      <c r="AI108" s="22"/>
    </row>
    <row r="109">
      <c r="A109" s="96" t="s">
        <v>60</v>
      </c>
      <c r="B109" s="40" t="s">
        <v>61</v>
      </c>
      <c r="C109" s="75">
        <v>5.0</v>
      </c>
      <c r="D109" s="75">
        <v>5.0</v>
      </c>
      <c r="E109" s="75">
        <v>5.0</v>
      </c>
      <c r="F109" s="75">
        <v>5.0</v>
      </c>
      <c r="G109" s="75">
        <v>5.0</v>
      </c>
      <c r="H109" s="75">
        <v>5.0</v>
      </c>
      <c r="J109" s="96" t="s">
        <v>60</v>
      </c>
      <c r="K109" s="40" t="s">
        <v>61</v>
      </c>
      <c r="L109" s="74">
        <v>4.0</v>
      </c>
      <c r="M109" s="74">
        <v>4.0</v>
      </c>
      <c r="N109" s="74">
        <v>4.0</v>
      </c>
      <c r="O109" s="74">
        <v>4.0</v>
      </c>
      <c r="P109" s="74">
        <v>4.0</v>
      </c>
      <c r="Q109" s="74">
        <v>4.0</v>
      </c>
      <c r="S109" s="96" t="s">
        <v>60</v>
      </c>
      <c r="T109" s="40" t="s">
        <v>61</v>
      </c>
      <c r="U109" s="27">
        <v>2.0</v>
      </c>
      <c r="V109" s="27">
        <v>2.0</v>
      </c>
      <c r="W109" s="27">
        <v>2.0</v>
      </c>
      <c r="X109" s="75">
        <v>5.0</v>
      </c>
      <c r="Y109" s="75">
        <v>5.0</v>
      </c>
      <c r="Z109" s="75">
        <v>5.0</v>
      </c>
      <c r="AI109" s="22"/>
    </row>
    <row r="110">
      <c r="A110" s="89"/>
      <c r="B110" s="34" t="s">
        <v>63</v>
      </c>
      <c r="C110" s="75">
        <v>5.0</v>
      </c>
      <c r="D110" s="75">
        <v>5.0</v>
      </c>
      <c r="E110" s="75">
        <v>5.0</v>
      </c>
      <c r="F110" s="75">
        <v>5.0</v>
      </c>
      <c r="G110" s="75">
        <v>5.0</v>
      </c>
      <c r="H110" s="75">
        <v>5.0</v>
      </c>
      <c r="J110" s="89"/>
      <c r="K110" s="34" t="s">
        <v>63</v>
      </c>
      <c r="L110" s="74">
        <v>4.0</v>
      </c>
      <c r="M110" s="74">
        <v>4.0</v>
      </c>
      <c r="N110" s="74">
        <v>4.0</v>
      </c>
      <c r="O110" s="74">
        <v>4.0</v>
      </c>
      <c r="P110" s="74">
        <v>4.0</v>
      </c>
      <c r="Q110" s="74">
        <v>4.0</v>
      </c>
      <c r="S110" s="89"/>
      <c r="T110" s="34" t="s">
        <v>63</v>
      </c>
      <c r="U110" s="75">
        <v>5.0</v>
      </c>
      <c r="V110" s="75">
        <v>5.0</v>
      </c>
      <c r="W110" s="75">
        <v>5.0</v>
      </c>
      <c r="X110" s="75">
        <v>5.0</v>
      </c>
      <c r="Y110" s="75">
        <v>5.0</v>
      </c>
      <c r="Z110" s="75">
        <v>5.0</v>
      </c>
      <c r="AI110" s="22"/>
    </row>
    <row r="111">
      <c r="A111" s="93"/>
      <c r="B111" s="40" t="s">
        <v>67</v>
      </c>
      <c r="C111" s="75">
        <v>5.0</v>
      </c>
      <c r="D111" s="75">
        <v>5.0</v>
      </c>
      <c r="E111" s="75">
        <v>5.0</v>
      </c>
      <c r="F111" s="75">
        <v>5.0</v>
      </c>
      <c r="G111" s="75">
        <v>5.0</v>
      </c>
      <c r="H111" s="75">
        <v>5.0</v>
      </c>
      <c r="J111" s="93"/>
      <c r="K111" s="40" t="s">
        <v>67</v>
      </c>
      <c r="L111" s="28">
        <v>3.0</v>
      </c>
      <c r="M111" s="27">
        <v>2.0</v>
      </c>
      <c r="N111" s="27">
        <v>2.0</v>
      </c>
      <c r="O111" s="27">
        <v>2.0</v>
      </c>
      <c r="P111" s="27">
        <v>2.0</v>
      </c>
      <c r="Q111" s="27">
        <v>2.0</v>
      </c>
      <c r="S111" s="93"/>
      <c r="T111" s="40" t="s">
        <v>67</v>
      </c>
      <c r="U111" s="75">
        <v>5.0</v>
      </c>
      <c r="V111" s="75">
        <v>5.0</v>
      </c>
      <c r="W111" s="75">
        <v>5.0</v>
      </c>
      <c r="X111" s="75">
        <v>5.0</v>
      </c>
      <c r="Y111" s="75">
        <v>5.0</v>
      </c>
      <c r="Z111" s="75">
        <v>5.0</v>
      </c>
      <c r="AI111" s="22"/>
    </row>
    <row r="112">
      <c r="A112" s="41">
        <f>COUNTIF(C93:H116,"=5")/6</f>
        <v>5</v>
      </c>
      <c r="B112" s="40" t="s">
        <v>68</v>
      </c>
      <c r="C112" s="74">
        <v>4.0</v>
      </c>
      <c r="D112" s="74">
        <v>4.0</v>
      </c>
      <c r="E112" s="74">
        <v>4.0</v>
      </c>
      <c r="F112" s="74">
        <v>4.0</v>
      </c>
      <c r="G112" s="74">
        <v>4.0</v>
      </c>
      <c r="H112" s="74">
        <v>4.0</v>
      </c>
      <c r="J112" s="41">
        <f>COUNTIF(L93:Q116,"=5")/6</f>
        <v>4.833333333</v>
      </c>
      <c r="K112" s="40" t="s">
        <v>68</v>
      </c>
      <c r="L112" s="27">
        <v>2.0</v>
      </c>
      <c r="M112" s="75">
        <v>5.0</v>
      </c>
      <c r="N112" s="75">
        <v>5.0</v>
      </c>
      <c r="O112" s="75">
        <v>5.0</v>
      </c>
      <c r="P112" s="75">
        <v>5.0</v>
      </c>
      <c r="Q112" s="75">
        <v>5.0</v>
      </c>
      <c r="S112" s="41">
        <f>COUNTIF(U93:Z116,"=5")/6</f>
        <v>7.5</v>
      </c>
      <c r="T112" s="40" t="s">
        <v>68</v>
      </c>
      <c r="U112" s="75">
        <v>5.0</v>
      </c>
      <c r="V112" s="75">
        <v>5.0</v>
      </c>
      <c r="W112" s="75">
        <v>5.0</v>
      </c>
      <c r="X112" s="75">
        <v>5.0</v>
      </c>
      <c r="Y112" s="75">
        <v>5.0</v>
      </c>
      <c r="Z112" s="75">
        <v>5.0</v>
      </c>
      <c r="AI112" s="22"/>
    </row>
    <row r="113">
      <c r="A113" s="48" t="s">
        <v>69</v>
      </c>
      <c r="B113" s="40" t="s">
        <v>23</v>
      </c>
      <c r="C113" s="74">
        <v>4.0</v>
      </c>
      <c r="D113" s="74">
        <v>4.0</v>
      </c>
      <c r="E113" s="74">
        <v>4.0</v>
      </c>
      <c r="F113" s="74">
        <v>4.0</v>
      </c>
      <c r="G113" s="74">
        <v>4.0</v>
      </c>
      <c r="H113" s="74">
        <v>4.0</v>
      </c>
      <c r="J113" s="48" t="s">
        <v>69</v>
      </c>
      <c r="K113" s="40" t="s">
        <v>23</v>
      </c>
      <c r="L113" s="75">
        <v>5.0</v>
      </c>
      <c r="M113" s="75">
        <v>5.0</v>
      </c>
      <c r="N113" s="75">
        <v>5.0</v>
      </c>
      <c r="O113" s="75">
        <v>5.0</v>
      </c>
      <c r="P113" s="75">
        <v>5.0</v>
      </c>
      <c r="Q113" s="75">
        <v>5.0</v>
      </c>
      <c r="S113" s="48" t="s">
        <v>69</v>
      </c>
      <c r="T113" s="40" t="s">
        <v>23</v>
      </c>
      <c r="U113" s="75">
        <v>5.0</v>
      </c>
      <c r="V113" s="75">
        <v>5.0</v>
      </c>
      <c r="W113" s="75">
        <v>5.0</v>
      </c>
      <c r="X113" s="75">
        <v>5.0</v>
      </c>
      <c r="Y113" s="75">
        <v>5.0</v>
      </c>
      <c r="Z113" s="75">
        <v>5.0</v>
      </c>
      <c r="AI113" s="22"/>
    </row>
    <row r="114">
      <c r="A114" s="93"/>
      <c r="B114" s="34" t="s">
        <v>70</v>
      </c>
      <c r="C114" s="74">
        <v>4.0</v>
      </c>
      <c r="D114" s="74">
        <v>4.0</v>
      </c>
      <c r="E114" s="74">
        <v>4.0</v>
      </c>
      <c r="F114" s="74">
        <v>4.0</v>
      </c>
      <c r="G114" s="74">
        <v>4.0</v>
      </c>
      <c r="H114" s="74">
        <v>4.0</v>
      </c>
      <c r="J114" s="93"/>
      <c r="K114" s="34" t="s">
        <v>70</v>
      </c>
      <c r="L114" s="75">
        <v>5.0</v>
      </c>
      <c r="M114" s="75">
        <v>5.0</v>
      </c>
      <c r="N114" s="75">
        <v>5.0</v>
      </c>
      <c r="O114" s="75">
        <v>5.0</v>
      </c>
      <c r="P114" s="75">
        <v>5.0</v>
      </c>
      <c r="Q114" s="75">
        <v>5.0</v>
      </c>
      <c r="S114" s="93"/>
      <c r="T114" s="34" t="s">
        <v>70</v>
      </c>
      <c r="U114" s="75">
        <v>5.0</v>
      </c>
      <c r="V114" s="75">
        <v>5.0</v>
      </c>
      <c r="W114" s="75">
        <v>5.0</v>
      </c>
      <c r="X114" s="75">
        <v>5.0</v>
      </c>
      <c r="Y114" s="75">
        <v>5.0</v>
      </c>
      <c r="Z114" s="75">
        <v>5.0</v>
      </c>
      <c r="AI114" s="22"/>
    </row>
    <row r="115">
      <c r="A115" s="97"/>
      <c r="B115" s="34" t="s">
        <v>72</v>
      </c>
      <c r="C115" s="74">
        <v>4.0</v>
      </c>
      <c r="D115" s="74">
        <v>4.0</v>
      </c>
      <c r="E115" s="74">
        <v>4.0</v>
      </c>
      <c r="F115" s="74">
        <v>4.0</v>
      </c>
      <c r="G115" s="74">
        <v>4.0</v>
      </c>
      <c r="H115" s="74">
        <v>4.0</v>
      </c>
      <c r="J115" s="97"/>
      <c r="K115" s="34" t="s">
        <v>72</v>
      </c>
      <c r="L115" s="75">
        <v>5.0</v>
      </c>
      <c r="M115" s="75">
        <v>5.0</v>
      </c>
      <c r="N115" s="75">
        <v>5.0</v>
      </c>
      <c r="O115" s="75">
        <v>5.0</v>
      </c>
      <c r="P115" s="75">
        <v>5.0</v>
      </c>
      <c r="Q115" s="75">
        <v>5.0</v>
      </c>
      <c r="S115" s="97"/>
      <c r="T115" s="34" t="s">
        <v>72</v>
      </c>
      <c r="U115" s="75">
        <v>5.0</v>
      </c>
      <c r="V115" s="75">
        <v>5.0</v>
      </c>
      <c r="W115" s="75">
        <v>5.0</v>
      </c>
      <c r="X115" s="75">
        <v>5.0</v>
      </c>
      <c r="Y115" s="75">
        <v>5.0</v>
      </c>
      <c r="Z115" s="75">
        <v>5.0</v>
      </c>
      <c r="AI115" s="22"/>
    </row>
    <row r="116">
      <c r="A116" s="98"/>
      <c r="B116" s="34" t="s">
        <v>73</v>
      </c>
      <c r="C116" s="74">
        <v>4.0</v>
      </c>
      <c r="D116" s="74">
        <v>4.0</v>
      </c>
      <c r="E116" s="74">
        <v>4.0</v>
      </c>
      <c r="F116" s="74">
        <v>4.0</v>
      </c>
      <c r="G116" s="74">
        <v>4.0</v>
      </c>
      <c r="H116" s="74">
        <v>4.0</v>
      </c>
      <c r="J116" s="98"/>
      <c r="K116" s="34" t="s">
        <v>73</v>
      </c>
      <c r="L116" s="75">
        <v>5.0</v>
      </c>
      <c r="M116" s="75">
        <v>5.0</v>
      </c>
      <c r="N116" s="75">
        <v>5.0</v>
      </c>
      <c r="O116" s="75">
        <v>5.0</v>
      </c>
      <c r="P116" s="75">
        <v>5.0</v>
      </c>
      <c r="Q116" s="75">
        <v>5.0</v>
      </c>
      <c r="S116" s="98"/>
      <c r="T116" s="34" t="s">
        <v>73</v>
      </c>
      <c r="U116" s="75">
        <v>5.0</v>
      </c>
      <c r="V116" s="75">
        <v>5.0</v>
      </c>
      <c r="W116" s="75">
        <v>5.0</v>
      </c>
      <c r="X116" s="75">
        <v>5.0</v>
      </c>
      <c r="Y116" s="75">
        <v>5.0</v>
      </c>
      <c r="Z116" s="75">
        <v>5.0</v>
      </c>
      <c r="AI116" s="22"/>
    </row>
    <row r="117">
      <c r="A117" s="99">
        <f>SUM(A96,A100,A104,A108,A112)</f>
        <v>24</v>
      </c>
      <c r="J117" s="99">
        <f>SUM(J96,J100,J104,J108,J112)</f>
        <v>24</v>
      </c>
      <c r="S117" s="99">
        <f>SUM(S96,S100,S104,S108,S112)</f>
        <v>24</v>
      </c>
      <c r="AI117" s="22"/>
    </row>
    <row r="118">
      <c r="A118" s="117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6"/>
    </row>
    <row r="119">
      <c r="A119" s="15" t="s">
        <v>190</v>
      </c>
      <c r="B119" s="16"/>
      <c r="C119" s="16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8"/>
    </row>
    <row r="120">
      <c r="A120" s="19"/>
      <c r="J120" s="20"/>
      <c r="S120" s="21"/>
      <c r="AB120" s="21"/>
      <c r="AI120" s="22"/>
    </row>
    <row r="121">
      <c r="A121" s="70" t="s">
        <v>202</v>
      </c>
      <c r="B121" s="72" t="s">
        <v>16</v>
      </c>
      <c r="C121" s="73"/>
      <c r="D121" s="76">
        <v>1.0</v>
      </c>
      <c r="E121" s="27">
        <v>2.0</v>
      </c>
      <c r="F121" s="28">
        <v>3.0</v>
      </c>
      <c r="G121" s="74">
        <v>4.0</v>
      </c>
      <c r="H121" s="75">
        <v>5.0</v>
      </c>
      <c r="J121" s="70" t="s">
        <v>203</v>
      </c>
      <c r="K121" s="72" t="s">
        <v>16</v>
      </c>
      <c r="L121" s="73"/>
      <c r="M121" s="76">
        <v>1.0</v>
      </c>
      <c r="N121" s="27">
        <v>2.0</v>
      </c>
      <c r="O121" s="28">
        <v>3.0</v>
      </c>
      <c r="P121" s="74">
        <v>4.0</v>
      </c>
      <c r="Q121" s="75">
        <v>5.0</v>
      </c>
      <c r="S121" s="70" t="s">
        <v>204</v>
      </c>
      <c r="T121" s="72" t="s">
        <v>16</v>
      </c>
      <c r="U121" s="73"/>
      <c r="V121" s="76">
        <v>1.0</v>
      </c>
      <c r="W121" s="27">
        <v>2.0</v>
      </c>
      <c r="X121" s="28">
        <v>3.0</v>
      </c>
      <c r="Y121" s="74">
        <v>4.0</v>
      </c>
      <c r="Z121" s="75">
        <v>5.0</v>
      </c>
      <c r="AB121" s="70" t="s">
        <v>205</v>
      </c>
      <c r="AC121" s="72" t="s">
        <v>16</v>
      </c>
      <c r="AD121" s="73"/>
      <c r="AE121" s="76">
        <v>1.0</v>
      </c>
      <c r="AF121" s="27">
        <v>2.0</v>
      </c>
      <c r="AG121" s="28">
        <v>3.0</v>
      </c>
      <c r="AH121" s="74">
        <v>4.0</v>
      </c>
      <c r="AI121" s="75">
        <v>5.0</v>
      </c>
    </row>
    <row r="122">
      <c r="A122" s="77" t="s">
        <v>20</v>
      </c>
      <c r="B122" s="78" t="s">
        <v>21</v>
      </c>
      <c r="C122" s="78" t="s">
        <v>22</v>
      </c>
      <c r="D122" s="78" t="s">
        <v>23</v>
      </c>
      <c r="E122" s="78" t="s">
        <v>24</v>
      </c>
      <c r="F122" s="78" t="s">
        <v>25</v>
      </c>
      <c r="G122" s="78" t="s">
        <v>26</v>
      </c>
      <c r="H122" s="78" t="s">
        <v>27</v>
      </c>
      <c r="J122" s="77" t="s">
        <v>20</v>
      </c>
      <c r="K122" s="78" t="s">
        <v>21</v>
      </c>
      <c r="L122" s="78" t="s">
        <v>22</v>
      </c>
      <c r="M122" s="78" t="s">
        <v>23</v>
      </c>
      <c r="N122" s="78" t="s">
        <v>24</v>
      </c>
      <c r="O122" s="78" t="s">
        <v>25</v>
      </c>
      <c r="P122" s="78" t="s">
        <v>26</v>
      </c>
      <c r="Q122" s="78" t="s">
        <v>27</v>
      </c>
      <c r="S122" s="77" t="s">
        <v>20</v>
      </c>
      <c r="T122" s="78" t="s">
        <v>21</v>
      </c>
      <c r="U122" s="78" t="s">
        <v>22</v>
      </c>
      <c r="V122" s="78" t="s">
        <v>23</v>
      </c>
      <c r="W122" s="78" t="s">
        <v>24</v>
      </c>
      <c r="X122" s="78" t="s">
        <v>25</v>
      </c>
      <c r="Y122" s="78" t="s">
        <v>26</v>
      </c>
      <c r="Z122" s="78" t="s">
        <v>27</v>
      </c>
      <c r="AB122" s="77" t="s">
        <v>20</v>
      </c>
      <c r="AC122" s="78" t="s">
        <v>21</v>
      </c>
      <c r="AD122" s="78" t="s">
        <v>22</v>
      </c>
      <c r="AE122" s="78" t="s">
        <v>23</v>
      </c>
      <c r="AF122" s="78" t="s">
        <v>24</v>
      </c>
      <c r="AG122" s="78" t="s">
        <v>25</v>
      </c>
      <c r="AH122" s="78" t="s">
        <v>26</v>
      </c>
      <c r="AI122" s="78" t="s">
        <v>27</v>
      </c>
    </row>
    <row r="123">
      <c r="A123" s="33" t="s">
        <v>28</v>
      </c>
      <c r="B123" s="34" t="s">
        <v>21</v>
      </c>
      <c r="C123" s="79"/>
      <c r="D123" s="79"/>
      <c r="E123" s="79"/>
      <c r="F123" s="79"/>
      <c r="G123" s="79"/>
      <c r="H123" s="79"/>
      <c r="J123" s="33" t="s">
        <v>28</v>
      </c>
      <c r="K123" s="34" t="s">
        <v>21</v>
      </c>
      <c r="L123" s="27">
        <v>2.0</v>
      </c>
      <c r="M123" s="27">
        <v>2.0</v>
      </c>
      <c r="N123" s="28">
        <v>3.0</v>
      </c>
      <c r="O123" s="28">
        <v>3.0</v>
      </c>
      <c r="P123" s="28">
        <v>3.0</v>
      </c>
      <c r="Q123" s="28">
        <v>3.0</v>
      </c>
      <c r="S123" s="35" t="s">
        <v>28</v>
      </c>
      <c r="T123" s="34" t="s">
        <v>21</v>
      </c>
      <c r="U123" s="27">
        <v>2.0</v>
      </c>
      <c r="V123" s="27">
        <v>2.0</v>
      </c>
      <c r="W123" s="28">
        <v>3.0</v>
      </c>
      <c r="X123" s="28">
        <v>3.0</v>
      </c>
      <c r="Y123" s="28">
        <v>3.0</v>
      </c>
      <c r="Z123" s="28">
        <v>3.0</v>
      </c>
      <c r="AB123" s="35" t="s">
        <v>28</v>
      </c>
      <c r="AC123" s="34" t="s">
        <v>21</v>
      </c>
      <c r="AD123" s="79"/>
      <c r="AE123" s="79"/>
      <c r="AF123" s="79"/>
      <c r="AG123" s="79"/>
      <c r="AH123" s="79"/>
      <c r="AI123" s="79"/>
    </row>
    <row r="124">
      <c r="A124" s="38"/>
      <c r="B124" s="34" t="s">
        <v>30</v>
      </c>
      <c r="C124" s="79"/>
      <c r="D124" s="79"/>
      <c r="E124" s="79"/>
      <c r="F124" s="79"/>
      <c r="G124" s="79"/>
      <c r="H124" s="79"/>
      <c r="I124" s="81" t="s">
        <v>31</v>
      </c>
      <c r="J124" s="38"/>
      <c r="K124" s="34" t="s">
        <v>30</v>
      </c>
      <c r="L124" s="28">
        <v>3.0</v>
      </c>
      <c r="M124" s="28">
        <v>3.0</v>
      </c>
      <c r="N124" s="28">
        <v>3.0</v>
      </c>
      <c r="O124" s="28">
        <v>3.0</v>
      </c>
      <c r="P124" s="28">
        <v>3.0</v>
      </c>
      <c r="Q124" s="28">
        <v>3.0</v>
      </c>
      <c r="S124" s="38"/>
      <c r="T124" s="34" t="s">
        <v>30</v>
      </c>
      <c r="U124" s="28">
        <v>3.0</v>
      </c>
      <c r="V124" s="28">
        <v>3.0</v>
      </c>
      <c r="W124" s="28">
        <v>3.0</v>
      </c>
      <c r="X124" s="28">
        <v>3.0</v>
      </c>
      <c r="Y124" s="28">
        <v>3.0</v>
      </c>
      <c r="Z124" s="28">
        <v>3.0</v>
      </c>
      <c r="AB124" s="38"/>
      <c r="AC124" s="34" t="s">
        <v>30</v>
      </c>
      <c r="AD124" s="79"/>
      <c r="AE124" s="79"/>
      <c r="AF124" s="79"/>
      <c r="AG124" s="79"/>
      <c r="AH124" s="79"/>
      <c r="AI124" s="79"/>
    </row>
    <row r="125">
      <c r="A125" s="39"/>
      <c r="B125" s="40" t="s">
        <v>33</v>
      </c>
      <c r="C125" s="79"/>
      <c r="D125" s="79"/>
      <c r="E125" s="79"/>
      <c r="F125" s="79"/>
      <c r="G125" s="79"/>
      <c r="H125" s="79"/>
      <c r="J125" s="39"/>
      <c r="K125" s="40" t="s">
        <v>33</v>
      </c>
      <c r="L125" s="28">
        <v>3.0</v>
      </c>
      <c r="M125" s="76">
        <v>1.0</v>
      </c>
      <c r="N125" s="76">
        <v>1.0</v>
      </c>
      <c r="O125" s="76">
        <v>1.0</v>
      </c>
      <c r="P125" s="76">
        <v>1.0</v>
      </c>
      <c r="Q125" s="76">
        <v>1.0</v>
      </c>
      <c r="S125" s="39"/>
      <c r="T125" s="40" t="s">
        <v>33</v>
      </c>
      <c r="U125" s="28">
        <v>3.0</v>
      </c>
      <c r="V125" s="28">
        <v>3.0</v>
      </c>
      <c r="W125" s="28">
        <v>3.0</v>
      </c>
      <c r="X125" s="28">
        <v>3.0</v>
      </c>
      <c r="Y125" s="28">
        <v>3.0</v>
      </c>
      <c r="Z125" s="28">
        <v>3.0</v>
      </c>
      <c r="AB125" s="39"/>
      <c r="AC125" s="40" t="s">
        <v>33</v>
      </c>
      <c r="AD125" s="79"/>
      <c r="AE125" s="79"/>
      <c r="AF125" s="79"/>
      <c r="AG125" s="79"/>
      <c r="AH125" s="79"/>
      <c r="AI125" s="79"/>
    </row>
    <row r="126">
      <c r="A126" s="41">
        <f>COUNTIF(C123:H146,"=1")/6</f>
        <v>0</v>
      </c>
      <c r="B126" s="40" t="s">
        <v>34</v>
      </c>
      <c r="C126" s="79"/>
      <c r="D126" s="79"/>
      <c r="E126" s="79"/>
      <c r="F126" s="79"/>
      <c r="G126" s="79"/>
      <c r="H126" s="79"/>
      <c r="J126" s="41">
        <f>COUNTIF(L123:Q146,"=1")/6</f>
        <v>9.833333333</v>
      </c>
      <c r="K126" s="40" t="s">
        <v>34</v>
      </c>
      <c r="L126" s="76">
        <v>1.0</v>
      </c>
      <c r="M126" s="76">
        <v>1.0</v>
      </c>
      <c r="N126" s="76">
        <v>1.0</v>
      </c>
      <c r="O126" s="76">
        <v>1.0</v>
      </c>
      <c r="P126" s="76">
        <v>1.0</v>
      </c>
      <c r="Q126" s="76">
        <v>1.0</v>
      </c>
      <c r="S126" s="41">
        <f>COUNTIF(U123:Z146,"=1")/6</f>
        <v>7.833333333</v>
      </c>
      <c r="T126" s="40" t="s">
        <v>34</v>
      </c>
      <c r="U126" s="28">
        <v>3.0</v>
      </c>
      <c r="V126" s="28">
        <v>3.0</v>
      </c>
      <c r="W126" s="28">
        <v>3.0</v>
      </c>
      <c r="X126" s="28">
        <v>3.0</v>
      </c>
      <c r="Y126" s="28">
        <v>3.0</v>
      </c>
      <c r="Z126" s="28">
        <v>3.0</v>
      </c>
      <c r="AB126" s="41">
        <f>COUNTIF(AD123:AI146,"=1")/6</f>
        <v>0</v>
      </c>
      <c r="AC126" s="40" t="s">
        <v>34</v>
      </c>
      <c r="AD126" s="79"/>
      <c r="AE126" s="79"/>
      <c r="AF126" s="79"/>
      <c r="AG126" s="79"/>
      <c r="AH126" s="79"/>
      <c r="AI126" s="79"/>
    </row>
    <row r="127">
      <c r="A127" s="42" t="s">
        <v>35</v>
      </c>
      <c r="B127" s="40" t="s">
        <v>36</v>
      </c>
      <c r="C127" s="79"/>
      <c r="D127" s="79"/>
      <c r="E127" s="79"/>
      <c r="F127" s="79"/>
      <c r="G127" s="79"/>
      <c r="H127" s="79"/>
      <c r="J127" s="42" t="s">
        <v>35</v>
      </c>
      <c r="K127" s="40" t="s">
        <v>36</v>
      </c>
      <c r="L127" s="76">
        <v>1.0</v>
      </c>
      <c r="M127" s="76">
        <v>1.0</v>
      </c>
      <c r="N127" s="76">
        <v>1.0</v>
      </c>
      <c r="O127" s="76">
        <v>1.0</v>
      </c>
      <c r="P127" s="76">
        <v>1.0</v>
      </c>
      <c r="Q127" s="76">
        <v>1.0</v>
      </c>
      <c r="S127" s="42" t="s">
        <v>35</v>
      </c>
      <c r="T127" s="40" t="s">
        <v>36</v>
      </c>
      <c r="U127" s="28">
        <v>3.0</v>
      </c>
      <c r="V127" s="28">
        <v>3.0</v>
      </c>
      <c r="W127" s="28">
        <v>3.0</v>
      </c>
      <c r="X127" s="28">
        <v>3.0</v>
      </c>
      <c r="Y127" s="76">
        <v>1.0</v>
      </c>
      <c r="Z127" s="76">
        <v>1.0</v>
      </c>
      <c r="AB127" s="42" t="s">
        <v>35</v>
      </c>
      <c r="AC127" s="40" t="s">
        <v>36</v>
      </c>
      <c r="AD127" s="79"/>
      <c r="AE127" s="79"/>
      <c r="AF127" s="79"/>
      <c r="AG127" s="79"/>
      <c r="AH127" s="79"/>
      <c r="AI127" s="79"/>
    </row>
    <row r="128">
      <c r="A128" s="68"/>
      <c r="B128" s="34" t="s">
        <v>38</v>
      </c>
      <c r="C128" s="79"/>
      <c r="D128" s="79"/>
      <c r="E128" s="79"/>
      <c r="F128" s="79"/>
      <c r="G128" s="84"/>
      <c r="H128" s="79"/>
      <c r="J128" s="68"/>
      <c r="K128" s="34" t="s">
        <v>38</v>
      </c>
      <c r="L128" s="76">
        <v>1.0</v>
      </c>
      <c r="M128" s="76">
        <v>1.0</v>
      </c>
      <c r="N128" s="76">
        <v>1.0</v>
      </c>
      <c r="O128" s="76">
        <v>1.0</v>
      </c>
      <c r="P128" s="76">
        <v>1.0</v>
      </c>
      <c r="Q128" s="76">
        <v>1.0</v>
      </c>
      <c r="S128" s="68"/>
      <c r="T128" s="34" t="s">
        <v>38</v>
      </c>
      <c r="U128" s="76">
        <v>1.0</v>
      </c>
      <c r="V128" s="76">
        <v>1.0</v>
      </c>
      <c r="W128" s="76">
        <v>1.0</v>
      </c>
      <c r="X128" s="76">
        <v>1.0</v>
      </c>
      <c r="Y128" s="76">
        <v>1.0</v>
      </c>
      <c r="Z128" s="76">
        <v>1.0</v>
      </c>
      <c r="AB128" s="68"/>
      <c r="AC128" s="34" t="s">
        <v>38</v>
      </c>
      <c r="AD128" s="79"/>
      <c r="AE128" s="79"/>
      <c r="AF128" s="79"/>
      <c r="AG128" s="79"/>
      <c r="AH128" s="84"/>
      <c r="AI128" s="79"/>
    </row>
    <row r="129">
      <c r="A129" s="39"/>
      <c r="B129" s="40" t="s">
        <v>42</v>
      </c>
      <c r="C129" s="79"/>
      <c r="D129" s="79"/>
      <c r="E129" s="79"/>
      <c r="F129" s="79"/>
      <c r="G129" s="79"/>
      <c r="H129" s="79"/>
      <c r="J129" s="39"/>
      <c r="K129" s="40" t="s">
        <v>42</v>
      </c>
      <c r="L129" s="76">
        <v>1.0</v>
      </c>
      <c r="M129" s="76">
        <v>1.0</v>
      </c>
      <c r="N129" s="76">
        <v>1.0</v>
      </c>
      <c r="O129" s="76">
        <v>1.0</v>
      </c>
      <c r="P129" s="76">
        <v>1.0</v>
      </c>
      <c r="Q129" s="76">
        <v>1.0</v>
      </c>
      <c r="S129" s="39"/>
      <c r="T129" s="40" t="s">
        <v>42</v>
      </c>
      <c r="U129" s="76">
        <v>1.0</v>
      </c>
      <c r="V129" s="76">
        <v>1.0</v>
      </c>
      <c r="W129" s="76">
        <v>1.0</v>
      </c>
      <c r="X129" s="76">
        <v>1.0</v>
      </c>
      <c r="Y129" s="76">
        <v>1.0</v>
      </c>
      <c r="Z129" s="76">
        <v>1.0</v>
      </c>
      <c r="AB129" s="39"/>
      <c r="AC129" s="40" t="s">
        <v>42</v>
      </c>
      <c r="AD129" s="79"/>
      <c r="AE129" s="79"/>
      <c r="AF129" s="79"/>
      <c r="AG129" s="79"/>
      <c r="AH129" s="79"/>
      <c r="AI129" s="79"/>
    </row>
    <row r="130">
      <c r="A130" s="41">
        <f>COUNTIF(C123:H146,"=2")/6</f>
        <v>0</v>
      </c>
      <c r="B130" s="40" t="s">
        <v>43</v>
      </c>
      <c r="C130" s="79"/>
      <c r="D130" s="79"/>
      <c r="E130" s="79"/>
      <c r="F130" s="79"/>
      <c r="G130" s="79"/>
      <c r="H130" s="79"/>
      <c r="J130" s="41">
        <f>COUNTIF(L123:Q146,"=2")/6</f>
        <v>3.333333333</v>
      </c>
      <c r="K130" s="40" t="s">
        <v>43</v>
      </c>
      <c r="L130" s="76">
        <v>1.0</v>
      </c>
      <c r="M130" s="76">
        <v>1.0</v>
      </c>
      <c r="N130" s="76">
        <v>1.0</v>
      </c>
      <c r="O130" s="76">
        <v>1.0</v>
      </c>
      <c r="P130" s="76">
        <v>1.0</v>
      </c>
      <c r="Q130" s="76">
        <v>1.0</v>
      </c>
      <c r="S130" s="41">
        <f>COUNTIF(U123:Z146,"=2")/6</f>
        <v>2.166666667</v>
      </c>
      <c r="T130" s="40" t="s">
        <v>43</v>
      </c>
      <c r="U130" s="76">
        <v>1.0</v>
      </c>
      <c r="V130" s="76">
        <v>1.0</v>
      </c>
      <c r="W130" s="76">
        <v>1.0</v>
      </c>
      <c r="X130" s="76">
        <v>1.0</v>
      </c>
      <c r="Y130" s="76">
        <v>1.0</v>
      </c>
      <c r="Z130" s="76">
        <v>1.0</v>
      </c>
      <c r="AB130" s="41">
        <f>COUNTIF(AD123:AI146,"=2")/6</f>
        <v>0</v>
      </c>
      <c r="AC130" s="40" t="s">
        <v>43</v>
      </c>
      <c r="AD130" s="79"/>
      <c r="AE130" s="79"/>
      <c r="AF130" s="79"/>
      <c r="AG130" s="79"/>
      <c r="AH130" s="79"/>
      <c r="AI130" s="79"/>
    </row>
    <row r="131">
      <c r="A131" s="44" t="s">
        <v>44</v>
      </c>
      <c r="B131" s="40" t="s">
        <v>45</v>
      </c>
      <c r="C131" s="79"/>
      <c r="D131" s="79"/>
      <c r="E131" s="79"/>
      <c r="F131" s="79"/>
      <c r="G131" s="79"/>
      <c r="H131" s="79"/>
      <c r="J131" s="44" t="s">
        <v>44</v>
      </c>
      <c r="K131" s="40" t="s">
        <v>45</v>
      </c>
      <c r="L131" s="76">
        <v>1.0</v>
      </c>
      <c r="M131" s="76">
        <v>1.0</v>
      </c>
      <c r="N131" s="76">
        <v>1.0</v>
      </c>
      <c r="O131" s="76">
        <v>1.0</v>
      </c>
      <c r="P131" s="76">
        <v>1.0</v>
      </c>
      <c r="Q131" s="76">
        <v>1.0</v>
      </c>
      <c r="S131" s="44" t="s">
        <v>44</v>
      </c>
      <c r="T131" s="40" t="s">
        <v>45</v>
      </c>
      <c r="U131" s="76">
        <v>1.0</v>
      </c>
      <c r="V131" s="76">
        <v>1.0</v>
      </c>
      <c r="W131" s="76">
        <v>1.0</v>
      </c>
      <c r="X131" s="76">
        <v>1.0</v>
      </c>
      <c r="Y131" s="76">
        <v>1.0</v>
      </c>
      <c r="Z131" s="76">
        <v>1.0</v>
      </c>
      <c r="AB131" s="44" t="s">
        <v>44</v>
      </c>
      <c r="AC131" s="40" t="s">
        <v>45</v>
      </c>
      <c r="AD131" s="79"/>
      <c r="AE131" s="79"/>
      <c r="AF131" s="79"/>
      <c r="AG131" s="79"/>
      <c r="AH131" s="79"/>
      <c r="AI131" s="79"/>
    </row>
    <row r="132">
      <c r="A132" s="38"/>
      <c r="B132" s="34" t="s">
        <v>47</v>
      </c>
      <c r="C132" s="79"/>
      <c r="D132" s="79"/>
      <c r="E132" s="79"/>
      <c r="F132" s="79"/>
      <c r="G132" s="79"/>
      <c r="H132" s="79"/>
      <c r="J132" s="38"/>
      <c r="K132" s="34" t="s">
        <v>47</v>
      </c>
      <c r="L132" s="76">
        <v>1.0</v>
      </c>
      <c r="M132" s="76">
        <v>1.0</v>
      </c>
      <c r="N132" s="76">
        <v>1.0</v>
      </c>
      <c r="O132" s="76">
        <v>1.0</v>
      </c>
      <c r="P132" s="76">
        <v>1.0</v>
      </c>
      <c r="Q132" s="76">
        <v>1.0</v>
      </c>
      <c r="S132" s="38"/>
      <c r="T132" s="34" t="s">
        <v>47</v>
      </c>
      <c r="U132" s="76">
        <v>1.0</v>
      </c>
      <c r="V132" s="76">
        <v>1.0</v>
      </c>
      <c r="W132" s="76">
        <v>1.0</v>
      </c>
      <c r="X132" s="76">
        <v>1.0</v>
      </c>
      <c r="Y132" s="76">
        <v>1.0</v>
      </c>
      <c r="Z132" s="76">
        <v>1.0</v>
      </c>
      <c r="AB132" s="38"/>
      <c r="AC132" s="34" t="s">
        <v>47</v>
      </c>
      <c r="AD132" s="79"/>
      <c r="AE132" s="79"/>
      <c r="AF132" s="79"/>
      <c r="AG132" s="79"/>
      <c r="AH132" s="79"/>
      <c r="AI132" s="79"/>
    </row>
    <row r="133">
      <c r="A133" s="39"/>
      <c r="B133" s="40" t="s">
        <v>22</v>
      </c>
      <c r="C133" s="79"/>
      <c r="D133" s="79"/>
      <c r="E133" s="79"/>
      <c r="F133" s="79"/>
      <c r="G133" s="79"/>
      <c r="H133" s="79"/>
      <c r="J133" s="39"/>
      <c r="K133" s="40" t="s">
        <v>22</v>
      </c>
      <c r="L133" s="76">
        <v>1.0</v>
      </c>
      <c r="M133" s="76">
        <v>1.0</v>
      </c>
      <c r="N133" s="76">
        <v>1.0</v>
      </c>
      <c r="O133" s="76">
        <v>1.0</v>
      </c>
      <c r="P133" s="76">
        <v>1.0</v>
      </c>
      <c r="Q133" s="76">
        <v>1.0</v>
      </c>
      <c r="S133" s="39"/>
      <c r="T133" s="40" t="s">
        <v>22</v>
      </c>
      <c r="U133" s="76">
        <v>1.0</v>
      </c>
      <c r="V133" s="76">
        <v>1.0</v>
      </c>
      <c r="W133" s="76">
        <v>1.0</v>
      </c>
      <c r="X133" s="76">
        <v>1.0</v>
      </c>
      <c r="Y133" s="76">
        <v>1.0</v>
      </c>
      <c r="Z133" s="76">
        <v>1.0</v>
      </c>
      <c r="AB133" s="39"/>
      <c r="AC133" s="40" t="s">
        <v>22</v>
      </c>
      <c r="AD133" s="79"/>
      <c r="AE133" s="79"/>
      <c r="AF133" s="79"/>
      <c r="AG133" s="79"/>
      <c r="AH133" s="79"/>
      <c r="AI133" s="79"/>
    </row>
    <row r="134">
      <c r="A134" s="41">
        <f>COUNTIF(C123:H146,"=3")/6</f>
        <v>0</v>
      </c>
      <c r="B134" s="40" t="s">
        <v>50</v>
      </c>
      <c r="C134" s="79"/>
      <c r="D134" s="79"/>
      <c r="E134" s="79"/>
      <c r="F134" s="79"/>
      <c r="G134" s="79"/>
      <c r="H134" s="79"/>
      <c r="J134" s="41">
        <f>COUNTIF(L123:Q146,"=3")/6</f>
        <v>1.833333333</v>
      </c>
      <c r="K134" s="40" t="s">
        <v>50</v>
      </c>
      <c r="L134" s="76">
        <v>1.0</v>
      </c>
      <c r="M134" s="76">
        <v>1.0</v>
      </c>
      <c r="N134" s="76">
        <v>1.0</v>
      </c>
      <c r="O134" s="76">
        <v>1.0</v>
      </c>
      <c r="P134" s="76">
        <v>1.0</v>
      </c>
      <c r="Q134" s="76">
        <v>1.0</v>
      </c>
      <c r="S134" s="41">
        <f>COUNTIF(U123:Z146,"=3")/6</f>
        <v>5</v>
      </c>
      <c r="T134" s="40" t="s">
        <v>50</v>
      </c>
      <c r="U134" s="76">
        <v>1.0</v>
      </c>
      <c r="V134" s="76">
        <v>1.0</v>
      </c>
      <c r="W134" s="76">
        <v>1.0</v>
      </c>
      <c r="X134" s="76">
        <v>1.0</v>
      </c>
      <c r="Y134" s="76">
        <v>1.0</v>
      </c>
      <c r="Z134" s="76">
        <v>1.0</v>
      </c>
      <c r="AB134" s="41">
        <f>COUNTIF(AD123:AI146,"=3")/6</f>
        <v>0</v>
      </c>
      <c r="AC134" s="40" t="s">
        <v>50</v>
      </c>
      <c r="AD134" s="79"/>
      <c r="AE134" s="79"/>
      <c r="AF134" s="79"/>
      <c r="AG134" s="79"/>
      <c r="AH134" s="79"/>
      <c r="AI134" s="79"/>
    </row>
    <row r="135">
      <c r="A135" s="87" t="s">
        <v>51</v>
      </c>
      <c r="B135" s="40" t="s">
        <v>52</v>
      </c>
      <c r="C135" s="79"/>
      <c r="D135" s="79"/>
      <c r="E135" s="79"/>
      <c r="F135" s="79"/>
      <c r="G135" s="79"/>
      <c r="H135" s="79"/>
      <c r="J135" s="87" t="s">
        <v>51</v>
      </c>
      <c r="K135" s="40" t="s">
        <v>52</v>
      </c>
      <c r="L135" s="27">
        <v>2.0</v>
      </c>
      <c r="M135" s="27">
        <v>2.0</v>
      </c>
      <c r="N135" s="27">
        <v>2.0</v>
      </c>
      <c r="O135" s="74">
        <v>4.0</v>
      </c>
      <c r="P135" s="74">
        <v>4.0</v>
      </c>
      <c r="Q135" s="74">
        <v>4.0</v>
      </c>
      <c r="S135" s="87" t="s">
        <v>51</v>
      </c>
      <c r="T135" s="40" t="s">
        <v>52</v>
      </c>
      <c r="U135" s="76">
        <v>1.0</v>
      </c>
      <c r="V135" s="76">
        <v>1.0</v>
      </c>
      <c r="W135" s="76">
        <v>1.0</v>
      </c>
      <c r="X135" s="27">
        <v>2.0</v>
      </c>
      <c r="Y135" s="27">
        <v>2.0</v>
      </c>
      <c r="Z135" s="27">
        <v>2.0</v>
      </c>
      <c r="AB135" s="87" t="s">
        <v>51</v>
      </c>
      <c r="AC135" s="40" t="s">
        <v>52</v>
      </c>
      <c r="AD135" s="79"/>
      <c r="AE135" s="79"/>
      <c r="AF135" s="79"/>
      <c r="AG135" s="79"/>
      <c r="AH135" s="79"/>
      <c r="AI135" s="79"/>
    </row>
    <row r="136">
      <c r="A136" s="89"/>
      <c r="B136" s="34" t="s">
        <v>54</v>
      </c>
      <c r="C136" s="79"/>
      <c r="D136" s="79"/>
      <c r="E136" s="79"/>
      <c r="F136" s="79"/>
      <c r="G136" s="79"/>
      <c r="H136" s="79"/>
      <c r="J136" s="89"/>
      <c r="K136" s="34" t="s">
        <v>54</v>
      </c>
      <c r="L136" s="74">
        <v>4.0</v>
      </c>
      <c r="M136" s="74">
        <v>4.0</v>
      </c>
      <c r="N136" s="74">
        <v>4.0</v>
      </c>
      <c r="O136" s="74">
        <v>4.0</v>
      </c>
      <c r="P136" s="74">
        <v>4.0</v>
      </c>
      <c r="Q136" s="74">
        <v>4.0</v>
      </c>
      <c r="S136" s="89"/>
      <c r="T136" s="34" t="s">
        <v>54</v>
      </c>
      <c r="U136" s="27">
        <v>2.0</v>
      </c>
      <c r="V136" s="28">
        <v>3.0</v>
      </c>
      <c r="W136" s="28">
        <v>3.0</v>
      </c>
      <c r="X136" s="28">
        <v>3.0</v>
      </c>
      <c r="Y136" s="28">
        <v>3.0</v>
      </c>
      <c r="Z136" s="27">
        <v>2.0</v>
      </c>
      <c r="AB136" s="89"/>
      <c r="AC136" s="34" t="s">
        <v>54</v>
      </c>
      <c r="AD136" s="79"/>
      <c r="AE136" s="79"/>
      <c r="AF136" s="79"/>
      <c r="AG136" s="79"/>
      <c r="AH136" s="79"/>
      <c r="AI136" s="79"/>
    </row>
    <row r="137">
      <c r="A137" s="93"/>
      <c r="B137" s="40" t="s">
        <v>58</v>
      </c>
      <c r="C137" s="79"/>
      <c r="D137" s="79"/>
      <c r="E137" s="79"/>
      <c r="F137" s="79"/>
      <c r="G137" s="79"/>
      <c r="H137" s="79"/>
      <c r="J137" s="93"/>
      <c r="K137" s="40" t="s">
        <v>58</v>
      </c>
      <c r="L137" s="74">
        <v>4.0</v>
      </c>
      <c r="M137" s="74">
        <v>4.0</v>
      </c>
      <c r="N137" s="74">
        <v>4.0</v>
      </c>
      <c r="O137" s="27">
        <v>2.0</v>
      </c>
      <c r="P137" s="27">
        <v>2.0</v>
      </c>
      <c r="Q137" s="27">
        <v>2.0</v>
      </c>
      <c r="S137" s="93"/>
      <c r="T137" s="40" t="s">
        <v>58</v>
      </c>
      <c r="U137" s="27">
        <v>2.0</v>
      </c>
      <c r="V137" s="27">
        <v>2.0</v>
      </c>
      <c r="W137" s="27">
        <v>2.0</v>
      </c>
      <c r="X137" s="27">
        <v>2.0</v>
      </c>
      <c r="Y137" s="27">
        <v>2.0</v>
      </c>
      <c r="Z137" s="27">
        <v>2.0</v>
      </c>
      <c r="AB137" s="93"/>
      <c r="AC137" s="40" t="s">
        <v>58</v>
      </c>
      <c r="AD137" s="79"/>
      <c r="AE137" s="79"/>
      <c r="AF137" s="79"/>
      <c r="AG137" s="79"/>
      <c r="AH137" s="79"/>
      <c r="AI137" s="79"/>
    </row>
    <row r="138">
      <c r="A138" s="41">
        <f>COUNTIF(C123:H146,"=4")/6</f>
        <v>0</v>
      </c>
      <c r="B138" s="40" t="s">
        <v>59</v>
      </c>
      <c r="C138" s="79"/>
      <c r="D138" s="79"/>
      <c r="E138" s="79"/>
      <c r="F138" s="79"/>
      <c r="G138" s="79"/>
      <c r="H138" s="79"/>
      <c r="J138" s="41">
        <f>COUNTIF(L123:Q146,"=4")/6</f>
        <v>2</v>
      </c>
      <c r="K138" s="40" t="s">
        <v>59</v>
      </c>
      <c r="L138" s="27">
        <v>2.0</v>
      </c>
      <c r="M138" s="27">
        <v>2.0</v>
      </c>
      <c r="N138" s="27">
        <v>2.0</v>
      </c>
      <c r="O138" s="27">
        <v>2.0</v>
      </c>
      <c r="P138" s="27">
        <v>2.0</v>
      </c>
      <c r="Q138" s="27">
        <v>2.0</v>
      </c>
      <c r="S138" s="41">
        <f>COUNTIF(U123:Z146,"=4")/6</f>
        <v>0</v>
      </c>
      <c r="T138" s="40" t="s">
        <v>59</v>
      </c>
      <c r="U138" s="79"/>
      <c r="V138" s="79"/>
      <c r="W138" s="79"/>
      <c r="X138" s="79"/>
      <c r="Y138" s="79"/>
      <c r="Z138" s="79"/>
      <c r="AB138" s="41">
        <f>COUNTIF(AD123:AI146,"=4")/6</f>
        <v>0</v>
      </c>
      <c r="AC138" s="40" t="s">
        <v>59</v>
      </c>
      <c r="AD138" s="79"/>
      <c r="AE138" s="79"/>
      <c r="AF138" s="79"/>
      <c r="AG138" s="79"/>
      <c r="AH138" s="79"/>
      <c r="AI138" s="79"/>
    </row>
    <row r="139">
      <c r="A139" s="96" t="s">
        <v>60</v>
      </c>
      <c r="B139" s="40" t="s">
        <v>61</v>
      </c>
      <c r="C139" s="79"/>
      <c r="D139" s="79"/>
      <c r="E139" s="79"/>
      <c r="F139" s="79"/>
      <c r="G139" s="79"/>
      <c r="H139" s="79"/>
      <c r="J139" s="96" t="s">
        <v>60</v>
      </c>
      <c r="K139" s="40" t="s">
        <v>61</v>
      </c>
      <c r="L139" s="27">
        <v>2.0</v>
      </c>
      <c r="M139" s="27">
        <v>2.0</v>
      </c>
      <c r="N139" s="27">
        <v>2.0</v>
      </c>
      <c r="O139" s="75">
        <v>5.0</v>
      </c>
      <c r="P139" s="75">
        <v>5.0</v>
      </c>
      <c r="Q139" s="75">
        <v>5.0</v>
      </c>
      <c r="S139" s="96" t="s">
        <v>60</v>
      </c>
      <c r="T139" s="40" t="s">
        <v>61</v>
      </c>
      <c r="U139" s="79"/>
      <c r="V139" s="79"/>
      <c r="W139" s="79"/>
      <c r="X139" s="79"/>
      <c r="Y139" s="79"/>
      <c r="Z139" s="79"/>
      <c r="AB139" s="96" t="s">
        <v>60</v>
      </c>
      <c r="AC139" s="40" t="s">
        <v>61</v>
      </c>
      <c r="AD139" s="79"/>
      <c r="AE139" s="79"/>
      <c r="AF139" s="79"/>
      <c r="AG139" s="79"/>
      <c r="AH139" s="79"/>
      <c r="AI139" s="79"/>
    </row>
    <row r="140">
      <c r="A140" s="89"/>
      <c r="B140" s="34" t="s">
        <v>63</v>
      </c>
      <c r="C140" s="79"/>
      <c r="D140" s="79"/>
      <c r="E140" s="79"/>
      <c r="F140" s="79"/>
      <c r="G140" s="79"/>
      <c r="H140" s="79"/>
      <c r="J140" s="89"/>
      <c r="K140" s="34" t="s">
        <v>63</v>
      </c>
      <c r="L140" s="75">
        <v>5.0</v>
      </c>
      <c r="M140" s="75">
        <v>5.0</v>
      </c>
      <c r="N140" s="75">
        <v>5.0</v>
      </c>
      <c r="O140" s="75">
        <v>5.0</v>
      </c>
      <c r="P140" s="75">
        <v>5.0</v>
      </c>
      <c r="Q140" s="75">
        <v>5.0</v>
      </c>
      <c r="S140" s="89"/>
      <c r="T140" s="34" t="s">
        <v>63</v>
      </c>
      <c r="U140" s="79"/>
      <c r="V140" s="79"/>
      <c r="W140" s="79"/>
      <c r="X140" s="79"/>
      <c r="Y140" s="79"/>
      <c r="Z140" s="79"/>
      <c r="AB140" s="89"/>
      <c r="AC140" s="34" t="s">
        <v>63</v>
      </c>
      <c r="AD140" s="79"/>
      <c r="AE140" s="79"/>
      <c r="AF140" s="79"/>
      <c r="AG140" s="79"/>
      <c r="AH140" s="79"/>
      <c r="AI140" s="79"/>
    </row>
    <row r="141">
      <c r="A141" s="93"/>
      <c r="B141" s="40" t="s">
        <v>67</v>
      </c>
      <c r="C141" s="79"/>
      <c r="D141" s="79"/>
      <c r="E141" s="79"/>
      <c r="F141" s="79"/>
      <c r="G141" s="79"/>
      <c r="H141" s="79"/>
      <c r="J141" s="93"/>
      <c r="K141" s="40" t="s">
        <v>67</v>
      </c>
      <c r="L141" s="75">
        <v>5.0</v>
      </c>
      <c r="M141" s="75">
        <v>5.0</v>
      </c>
      <c r="N141" s="75">
        <v>5.0</v>
      </c>
      <c r="O141" s="75">
        <v>5.0</v>
      </c>
      <c r="P141" s="75">
        <v>5.0</v>
      </c>
      <c r="Q141" s="75">
        <v>5.0</v>
      </c>
      <c r="S141" s="93"/>
      <c r="T141" s="40" t="s">
        <v>67</v>
      </c>
      <c r="U141" s="79"/>
      <c r="V141" s="79"/>
      <c r="W141" s="79"/>
      <c r="X141" s="79"/>
      <c r="Y141" s="79"/>
      <c r="Z141" s="79"/>
      <c r="AB141" s="93"/>
      <c r="AC141" s="40" t="s">
        <v>67</v>
      </c>
      <c r="AD141" s="79"/>
      <c r="AE141" s="79"/>
      <c r="AF141" s="79"/>
      <c r="AG141" s="79"/>
      <c r="AH141" s="79"/>
      <c r="AI141" s="79"/>
    </row>
    <row r="142">
      <c r="A142" s="41">
        <f>COUNTIF(C123:H146,"=5")/6</f>
        <v>0</v>
      </c>
      <c r="B142" s="40" t="s">
        <v>68</v>
      </c>
      <c r="C142" s="79"/>
      <c r="D142" s="79"/>
      <c r="E142" s="79"/>
      <c r="F142" s="79"/>
      <c r="G142" s="79"/>
      <c r="H142" s="79"/>
      <c r="J142" s="41">
        <f>COUNTIF(L123:Q146,"=5")/6</f>
        <v>7</v>
      </c>
      <c r="K142" s="40" t="s">
        <v>68</v>
      </c>
      <c r="L142" s="75">
        <v>5.0</v>
      </c>
      <c r="M142" s="75">
        <v>5.0</v>
      </c>
      <c r="N142" s="75">
        <v>5.0</v>
      </c>
      <c r="O142" s="75">
        <v>5.0</v>
      </c>
      <c r="P142" s="75">
        <v>5.0</v>
      </c>
      <c r="Q142" s="75">
        <v>5.0</v>
      </c>
      <c r="S142" s="41">
        <f>COUNTIF(U123:Z146,"=5")/6</f>
        <v>0</v>
      </c>
      <c r="T142" s="40" t="s">
        <v>68</v>
      </c>
      <c r="U142" s="79"/>
      <c r="V142" s="79"/>
      <c r="W142" s="79"/>
      <c r="X142" s="79"/>
      <c r="Y142" s="79"/>
      <c r="Z142" s="79"/>
      <c r="AB142" s="41">
        <f>COUNTIF(AD123:AI146,"=5")/6</f>
        <v>0</v>
      </c>
      <c r="AC142" s="40" t="s">
        <v>68</v>
      </c>
      <c r="AD142" s="79"/>
      <c r="AE142" s="79"/>
      <c r="AF142" s="79"/>
      <c r="AG142" s="79"/>
      <c r="AH142" s="79"/>
      <c r="AI142" s="79"/>
    </row>
    <row r="143">
      <c r="A143" s="48" t="s">
        <v>69</v>
      </c>
      <c r="B143" s="40" t="s">
        <v>23</v>
      </c>
      <c r="C143" s="79"/>
      <c r="D143" s="79"/>
      <c r="E143" s="79"/>
      <c r="F143" s="79"/>
      <c r="G143" s="79"/>
      <c r="H143" s="79"/>
      <c r="J143" s="48" t="s">
        <v>69</v>
      </c>
      <c r="K143" s="40" t="s">
        <v>23</v>
      </c>
      <c r="L143" s="75">
        <v>5.0</v>
      </c>
      <c r="M143" s="75">
        <v>5.0</v>
      </c>
      <c r="N143" s="75">
        <v>5.0</v>
      </c>
      <c r="O143" s="75">
        <v>5.0</v>
      </c>
      <c r="P143" s="75">
        <v>5.0</v>
      </c>
      <c r="Q143" s="75">
        <v>5.0</v>
      </c>
      <c r="S143" s="48" t="s">
        <v>69</v>
      </c>
      <c r="T143" s="40" t="s">
        <v>23</v>
      </c>
      <c r="U143" s="79"/>
      <c r="V143" s="79"/>
      <c r="W143" s="79"/>
      <c r="X143" s="79"/>
      <c r="Y143" s="79"/>
      <c r="Z143" s="79"/>
      <c r="AB143" s="48" t="s">
        <v>69</v>
      </c>
      <c r="AC143" s="40" t="s">
        <v>23</v>
      </c>
      <c r="AD143" s="79"/>
      <c r="AE143" s="79"/>
      <c r="AF143" s="79"/>
      <c r="AG143" s="79"/>
      <c r="AH143" s="79"/>
      <c r="AI143" s="79"/>
    </row>
    <row r="144">
      <c r="A144" s="93"/>
      <c r="B144" s="34" t="s">
        <v>70</v>
      </c>
      <c r="C144" s="79"/>
      <c r="D144" s="79"/>
      <c r="E144" s="79"/>
      <c r="F144" s="79"/>
      <c r="G144" s="79"/>
      <c r="H144" s="79"/>
      <c r="J144" s="93"/>
      <c r="K144" s="34" t="s">
        <v>70</v>
      </c>
      <c r="L144" s="75">
        <v>5.0</v>
      </c>
      <c r="M144" s="75">
        <v>5.0</v>
      </c>
      <c r="N144" s="75">
        <v>5.0</v>
      </c>
      <c r="O144" s="75">
        <v>5.0</v>
      </c>
      <c r="P144" s="75">
        <v>5.0</v>
      </c>
      <c r="Q144" s="75">
        <v>5.0</v>
      </c>
      <c r="S144" s="93"/>
      <c r="T144" s="34" t="s">
        <v>70</v>
      </c>
      <c r="U144" s="79"/>
      <c r="V144" s="79"/>
      <c r="W144" s="79"/>
      <c r="X144" s="79"/>
      <c r="Y144" s="79"/>
      <c r="Z144" s="79"/>
      <c r="AB144" s="93"/>
      <c r="AC144" s="34" t="s">
        <v>70</v>
      </c>
      <c r="AD144" s="79"/>
      <c r="AE144" s="79"/>
      <c r="AF144" s="79"/>
      <c r="AG144" s="79"/>
      <c r="AH144" s="79"/>
      <c r="AI144" s="79"/>
    </row>
    <row r="145">
      <c r="A145" s="97"/>
      <c r="B145" s="34" t="s">
        <v>72</v>
      </c>
      <c r="C145" s="79"/>
      <c r="D145" s="79"/>
      <c r="E145" s="79"/>
      <c r="F145" s="79"/>
      <c r="G145" s="79"/>
      <c r="H145" s="79"/>
      <c r="J145" s="97"/>
      <c r="K145" s="34" t="s">
        <v>72</v>
      </c>
      <c r="L145" s="75">
        <v>5.0</v>
      </c>
      <c r="M145" s="75">
        <v>5.0</v>
      </c>
      <c r="N145" s="75">
        <v>5.0</v>
      </c>
      <c r="O145" s="75">
        <v>5.0</v>
      </c>
      <c r="P145" s="75">
        <v>5.0</v>
      </c>
      <c r="Q145" s="75">
        <v>5.0</v>
      </c>
      <c r="S145" s="97"/>
      <c r="T145" s="34" t="s">
        <v>72</v>
      </c>
      <c r="U145" s="79"/>
      <c r="V145" s="79"/>
      <c r="W145" s="79"/>
      <c r="X145" s="79"/>
      <c r="Y145" s="79"/>
      <c r="Z145" s="79"/>
      <c r="AB145" s="97"/>
      <c r="AC145" s="34" t="s">
        <v>72</v>
      </c>
      <c r="AD145" s="79"/>
      <c r="AE145" s="79"/>
      <c r="AF145" s="79"/>
      <c r="AG145" s="79"/>
      <c r="AH145" s="79"/>
      <c r="AI145" s="79"/>
    </row>
    <row r="146">
      <c r="A146" s="98"/>
      <c r="B146" s="34" t="s">
        <v>73</v>
      </c>
      <c r="C146" s="79"/>
      <c r="D146" s="79"/>
      <c r="E146" s="79"/>
      <c r="F146" s="79"/>
      <c r="G146" s="79"/>
      <c r="H146" s="79"/>
      <c r="J146" s="98"/>
      <c r="K146" s="34" t="s">
        <v>73</v>
      </c>
      <c r="L146" s="75">
        <v>5.0</v>
      </c>
      <c r="M146" s="75">
        <v>5.0</v>
      </c>
      <c r="N146" s="75">
        <v>5.0</v>
      </c>
      <c r="O146" s="27">
        <v>2.0</v>
      </c>
      <c r="P146" s="27">
        <v>2.0</v>
      </c>
      <c r="Q146" s="27">
        <v>2.0</v>
      </c>
      <c r="S146" s="98"/>
      <c r="T146" s="34" t="s">
        <v>73</v>
      </c>
      <c r="U146" s="79"/>
      <c r="V146" s="79"/>
      <c r="W146" s="79"/>
      <c r="X146" s="79"/>
      <c r="Y146" s="79"/>
      <c r="Z146" s="79"/>
      <c r="AB146" s="98"/>
      <c r="AC146" s="34" t="s">
        <v>73</v>
      </c>
      <c r="AD146" s="79"/>
      <c r="AE146" s="79"/>
      <c r="AF146" s="79"/>
      <c r="AG146" s="79"/>
      <c r="AH146" s="79"/>
      <c r="AI146" s="79"/>
    </row>
    <row r="147">
      <c r="A147" s="99">
        <f>SUM(A126,A130,A134,A138,A142)</f>
        <v>0</v>
      </c>
      <c r="J147" s="99">
        <f>SUM(J126,J130,J134,J138,J142)</f>
        <v>24</v>
      </c>
      <c r="S147" s="99">
        <f>SUM(S126,S130,S134,S138,S142)</f>
        <v>15</v>
      </c>
      <c r="AB147" s="99">
        <f>SUM(AB126,AB130,AB134,AB138,AB142)</f>
        <v>0</v>
      </c>
      <c r="AI147" s="22"/>
    </row>
    <row r="148">
      <c r="A148" s="100"/>
      <c r="AI148" s="22"/>
    </row>
    <row r="149">
      <c r="A149" s="19"/>
      <c r="J149" s="21"/>
      <c r="S149" s="21"/>
      <c r="AI149" s="22"/>
    </row>
    <row r="150">
      <c r="A150" s="70" t="s">
        <v>210</v>
      </c>
      <c r="B150" s="72" t="s">
        <v>16</v>
      </c>
      <c r="C150" s="73"/>
      <c r="D150" s="76">
        <v>1.0</v>
      </c>
      <c r="E150" s="27">
        <v>2.0</v>
      </c>
      <c r="F150" s="28">
        <v>3.0</v>
      </c>
      <c r="G150" s="74">
        <v>4.0</v>
      </c>
      <c r="H150" s="75">
        <v>5.0</v>
      </c>
      <c r="J150" s="70" t="s">
        <v>211</v>
      </c>
      <c r="K150" s="72" t="s">
        <v>16</v>
      </c>
      <c r="L150" s="73"/>
      <c r="M150" s="76">
        <v>1.0</v>
      </c>
      <c r="N150" s="27">
        <v>2.0</v>
      </c>
      <c r="O150" s="28">
        <v>3.0</v>
      </c>
      <c r="P150" s="74">
        <v>4.0</v>
      </c>
      <c r="Q150" s="75">
        <v>5.0</v>
      </c>
      <c r="S150" s="70" t="s">
        <v>212</v>
      </c>
      <c r="T150" s="72" t="s">
        <v>16</v>
      </c>
      <c r="U150" s="73"/>
      <c r="V150" s="76">
        <v>1.0</v>
      </c>
      <c r="W150" s="27">
        <v>2.0</v>
      </c>
      <c r="X150" s="28">
        <v>3.0</v>
      </c>
      <c r="Y150" s="74">
        <v>4.0</v>
      </c>
      <c r="Z150" s="75">
        <v>5.0</v>
      </c>
      <c r="AB150" s="70" t="s">
        <v>77</v>
      </c>
      <c r="AC150" s="101" t="s">
        <v>78</v>
      </c>
      <c r="AD150" s="101" t="s">
        <v>79</v>
      </c>
      <c r="AE150" s="101" t="s">
        <v>80</v>
      </c>
      <c r="AF150" s="101" t="s">
        <v>81</v>
      </c>
      <c r="AG150" s="101" t="s">
        <v>82</v>
      </c>
      <c r="AH150" s="101" t="s">
        <v>83</v>
      </c>
      <c r="AI150" s="101" t="s">
        <v>84</v>
      </c>
    </row>
    <row r="151">
      <c r="A151" s="77" t="s">
        <v>20</v>
      </c>
      <c r="B151" s="78" t="s">
        <v>21</v>
      </c>
      <c r="C151" s="78" t="s">
        <v>22</v>
      </c>
      <c r="D151" s="78" t="s">
        <v>23</v>
      </c>
      <c r="E151" s="78" t="s">
        <v>24</v>
      </c>
      <c r="F151" s="78" t="s">
        <v>25</v>
      </c>
      <c r="G151" s="78" t="s">
        <v>26</v>
      </c>
      <c r="H151" s="78" t="s">
        <v>27</v>
      </c>
      <c r="J151" s="77" t="s">
        <v>20</v>
      </c>
      <c r="K151" s="78" t="s">
        <v>21</v>
      </c>
      <c r="L151" s="78" t="s">
        <v>22</v>
      </c>
      <c r="M151" s="78" t="s">
        <v>23</v>
      </c>
      <c r="N151" s="78" t="s">
        <v>24</v>
      </c>
      <c r="O151" s="78" t="s">
        <v>25</v>
      </c>
      <c r="P151" s="78" t="s">
        <v>26</v>
      </c>
      <c r="Q151" s="78" t="s">
        <v>27</v>
      </c>
      <c r="S151" s="77" t="s">
        <v>20</v>
      </c>
      <c r="T151" s="78" t="s">
        <v>21</v>
      </c>
      <c r="U151" s="78" t="s">
        <v>22</v>
      </c>
      <c r="V151" s="78" t="s">
        <v>23</v>
      </c>
      <c r="W151" s="78" t="s">
        <v>24</v>
      </c>
      <c r="X151" s="78" t="s">
        <v>25</v>
      </c>
      <c r="Y151" s="78" t="s">
        <v>26</v>
      </c>
      <c r="Z151" s="78" t="s">
        <v>27</v>
      </c>
      <c r="AB151" s="102" t="s">
        <v>85</v>
      </c>
      <c r="AC151" s="103">
        <f>A126</f>
        <v>0</v>
      </c>
      <c r="AD151" s="103">
        <f>J126</f>
        <v>9.833333333</v>
      </c>
      <c r="AE151" s="103">
        <f>S126</f>
        <v>7.833333333</v>
      </c>
      <c r="AF151" s="103">
        <f>AB126</f>
        <v>0</v>
      </c>
      <c r="AG151" s="103">
        <f>A155</f>
        <v>0</v>
      </c>
      <c r="AH151" s="103">
        <f>J155</f>
        <v>0</v>
      </c>
      <c r="AI151" s="103">
        <f>S155</f>
        <v>6</v>
      </c>
    </row>
    <row r="152">
      <c r="A152" s="33" t="s">
        <v>28</v>
      </c>
      <c r="B152" s="34" t="s">
        <v>21</v>
      </c>
      <c r="C152" s="79"/>
      <c r="D152" s="79"/>
      <c r="E152" s="79"/>
      <c r="F152" s="79"/>
      <c r="G152" s="79"/>
      <c r="H152" s="79"/>
      <c r="J152" s="33" t="s">
        <v>28</v>
      </c>
      <c r="K152" s="34" t="s">
        <v>21</v>
      </c>
      <c r="L152" s="79"/>
      <c r="M152" s="79"/>
      <c r="N152" s="79"/>
      <c r="O152" s="79"/>
      <c r="P152" s="79"/>
      <c r="Q152" s="79"/>
      <c r="S152" s="35" t="s">
        <v>28</v>
      </c>
      <c r="T152" s="34" t="s">
        <v>21</v>
      </c>
      <c r="U152" s="28">
        <v>3.0</v>
      </c>
      <c r="V152" s="28">
        <v>3.0</v>
      </c>
      <c r="W152" s="28">
        <v>3.0</v>
      </c>
      <c r="X152" s="76">
        <v>1.0</v>
      </c>
      <c r="Y152" s="76">
        <v>1.0</v>
      </c>
      <c r="Z152" s="76">
        <v>1.0</v>
      </c>
      <c r="AB152" s="104"/>
      <c r="AC152" s="105" t="s">
        <v>86</v>
      </c>
      <c r="AD152" s="59"/>
      <c r="AE152" s="106">
        <f>SUM(AC151:AI151)</f>
        <v>23.66666667</v>
      </c>
      <c r="AF152" s="107" t="s">
        <v>87</v>
      </c>
      <c r="AG152" s="62"/>
      <c r="AH152" s="103">
        <f>AVERAGE(AC151:AI151)</f>
        <v>3.380952381</v>
      </c>
      <c r="AI152" s="22"/>
    </row>
    <row r="153">
      <c r="A153" s="38"/>
      <c r="B153" s="34" t="s">
        <v>30</v>
      </c>
      <c r="C153" s="79"/>
      <c r="D153" s="79"/>
      <c r="E153" s="79"/>
      <c r="F153" s="79"/>
      <c r="G153" s="79"/>
      <c r="H153" s="79"/>
      <c r="I153" s="81" t="s">
        <v>31</v>
      </c>
      <c r="J153" s="38"/>
      <c r="K153" s="34" t="s">
        <v>30</v>
      </c>
      <c r="L153" s="79"/>
      <c r="M153" s="79"/>
      <c r="N153" s="79"/>
      <c r="O153" s="79"/>
      <c r="P153" s="79"/>
      <c r="Q153" s="79"/>
      <c r="S153" s="38"/>
      <c r="T153" s="34" t="s">
        <v>30</v>
      </c>
      <c r="U153" s="76">
        <v>1.0</v>
      </c>
      <c r="V153" s="76">
        <v>1.0</v>
      </c>
      <c r="W153" s="76">
        <v>1.0</v>
      </c>
      <c r="X153" s="76">
        <v>1.0</v>
      </c>
      <c r="Y153" s="76">
        <v>1.0</v>
      </c>
      <c r="Z153" s="76">
        <v>1.0</v>
      </c>
      <c r="AB153" s="108" t="s">
        <v>88</v>
      </c>
      <c r="AC153" s="103">
        <f>A130</f>
        <v>0</v>
      </c>
      <c r="AD153" s="103">
        <f>J130</f>
        <v>3.333333333</v>
      </c>
      <c r="AE153" s="103">
        <f>S130</f>
        <v>2.166666667</v>
      </c>
      <c r="AF153" s="103">
        <f>AB130</f>
        <v>0</v>
      </c>
      <c r="AG153" s="103">
        <f>A159</f>
        <v>0</v>
      </c>
      <c r="AH153" s="103">
        <f>J159</f>
        <v>0</v>
      </c>
      <c r="AI153" s="103">
        <f>S159</f>
        <v>3.666666667</v>
      </c>
    </row>
    <row r="154">
      <c r="A154" s="39"/>
      <c r="B154" s="40" t="s">
        <v>33</v>
      </c>
      <c r="C154" s="79"/>
      <c r="D154" s="79"/>
      <c r="E154" s="79"/>
      <c r="F154" s="79"/>
      <c r="G154" s="79"/>
      <c r="H154" s="79"/>
      <c r="J154" s="39"/>
      <c r="K154" s="40" t="s">
        <v>33</v>
      </c>
      <c r="L154" s="79"/>
      <c r="M154" s="79"/>
      <c r="N154" s="79"/>
      <c r="O154" s="79"/>
      <c r="P154" s="79"/>
      <c r="Q154" s="79"/>
      <c r="S154" s="39"/>
      <c r="T154" s="40" t="s">
        <v>33</v>
      </c>
      <c r="U154" s="76">
        <v>1.0</v>
      </c>
      <c r="V154" s="76">
        <v>1.0</v>
      </c>
      <c r="W154" s="76">
        <v>1.0</v>
      </c>
      <c r="X154" s="76">
        <v>1.0</v>
      </c>
      <c r="Y154" s="76">
        <v>1.0</v>
      </c>
      <c r="Z154" s="76">
        <v>1.0</v>
      </c>
      <c r="AB154" s="109"/>
      <c r="AC154" s="105" t="s">
        <v>86</v>
      </c>
      <c r="AD154" s="59"/>
      <c r="AE154" s="106">
        <f>SUM(AC153:AI153)</f>
        <v>9.166666667</v>
      </c>
      <c r="AF154" s="107" t="s">
        <v>87</v>
      </c>
      <c r="AG154" s="62"/>
      <c r="AH154" s="103">
        <f>AVERAGE(AC153:AI153)</f>
        <v>1.30952381</v>
      </c>
      <c r="AI154" s="22"/>
    </row>
    <row r="155">
      <c r="A155" s="41">
        <f>COUNTIF(C152:H175,"=1")/6</f>
        <v>0</v>
      </c>
      <c r="B155" s="40" t="s">
        <v>34</v>
      </c>
      <c r="C155" s="79"/>
      <c r="D155" s="79"/>
      <c r="E155" s="79"/>
      <c r="F155" s="79"/>
      <c r="G155" s="79"/>
      <c r="H155" s="79"/>
      <c r="J155" s="41">
        <f>COUNTIF(L152:Q175,"=1")/6</f>
        <v>0</v>
      </c>
      <c r="K155" s="40" t="s">
        <v>34</v>
      </c>
      <c r="L155" s="79"/>
      <c r="M155" s="79"/>
      <c r="N155" s="79"/>
      <c r="O155" s="79"/>
      <c r="P155" s="79"/>
      <c r="Q155" s="79"/>
      <c r="S155" s="41">
        <f>COUNTIF(U152:Z175,"=1")/6</f>
        <v>6</v>
      </c>
      <c r="T155" s="40" t="s">
        <v>34</v>
      </c>
      <c r="U155" s="76">
        <v>1.0</v>
      </c>
      <c r="V155" s="76">
        <v>1.0</v>
      </c>
      <c r="W155" s="76">
        <v>1.0</v>
      </c>
      <c r="X155" s="76">
        <v>1.0</v>
      </c>
      <c r="Y155" s="76">
        <v>1.0</v>
      </c>
      <c r="Z155" s="76">
        <v>1.0</v>
      </c>
      <c r="AB155" s="110" t="s">
        <v>89</v>
      </c>
      <c r="AC155" s="103">
        <f>A134</f>
        <v>0</v>
      </c>
      <c r="AD155" s="103">
        <f>J134</f>
        <v>1.833333333</v>
      </c>
      <c r="AE155" s="103" t="str">
        <f>S136</f>
        <v/>
      </c>
      <c r="AF155" s="103">
        <f>AB134</f>
        <v>0</v>
      </c>
      <c r="AG155" s="103">
        <f>A163</f>
        <v>0</v>
      </c>
      <c r="AH155" s="103">
        <f>J163</f>
        <v>0</v>
      </c>
      <c r="AI155" s="103">
        <f>S163</f>
        <v>0.5</v>
      </c>
    </row>
    <row r="156">
      <c r="A156" s="42" t="s">
        <v>35</v>
      </c>
      <c r="B156" s="40" t="s">
        <v>36</v>
      </c>
      <c r="C156" s="79"/>
      <c r="D156" s="79"/>
      <c r="E156" s="79"/>
      <c r="F156" s="79"/>
      <c r="G156" s="79"/>
      <c r="H156" s="79"/>
      <c r="J156" s="42" t="s">
        <v>35</v>
      </c>
      <c r="K156" s="40" t="s">
        <v>36</v>
      </c>
      <c r="L156" s="79"/>
      <c r="M156" s="79"/>
      <c r="N156" s="79"/>
      <c r="O156" s="79"/>
      <c r="P156" s="79"/>
      <c r="Q156" s="79"/>
      <c r="S156" s="42" t="s">
        <v>35</v>
      </c>
      <c r="T156" s="40" t="s">
        <v>36</v>
      </c>
      <c r="U156" s="76">
        <v>1.0</v>
      </c>
      <c r="V156" s="76">
        <v>1.0</v>
      </c>
      <c r="W156" s="76">
        <v>1.0</v>
      </c>
      <c r="X156" s="76">
        <v>1.0</v>
      </c>
      <c r="Y156" s="76">
        <v>1.0</v>
      </c>
      <c r="Z156" s="76">
        <v>1.0</v>
      </c>
      <c r="AB156" s="111"/>
      <c r="AC156" s="105" t="s">
        <v>86</v>
      </c>
      <c r="AD156" s="59"/>
      <c r="AE156" s="106">
        <f>SUM(AC155:AI155)</f>
        <v>2.333333333</v>
      </c>
      <c r="AF156" s="107" t="s">
        <v>87</v>
      </c>
      <c r="AG156" s="62"/>
      <c r="AH156" s="103">
        <f>AVERAGE(AC155:AI155)</f>
        <v>0.3888888889</v>
      </c>
      <c r="AI156" s="22"/>
    </row>
    <row r="157">
      <c r="A157" s="68"/>
      <c r="B157" s="34" t="s">
        <v>38</v>
      </c>
      <c r="C157" s="79"/>
      <c r="D157" s="79"/>
      <c r="E157" s="79"/>
      <c r="F157" s="79"/>
      <c r="G157" s="84"/>
      <c r="H157" s="79"/>
      <c r="J157" s="68"/>
      <c r="K157" s="34" t="s">
        <v>38</v>
      </c>
      <c r="L157" s="79"/>
      <c r="M157" s="79"/>
      <c r="N157" s="79"/>
      <c r="O157" s="79"/>
      <c r="P157" s="84"/>
      <c r="Q157" s="79"/>
      <c r="S157" s="68"/>
      <c r="T157" s="34" t="s">
        <v>38</v>
      </c>
      <c r="U157" s="76">
        <v>1.0</v>
      </c>
      <c r="V157" s="76">
        <v>1.0</v>
      </c>
      <c r="W157" s="76">
        <v>1.0</v>
      </c>
      <c r="X157" s="76">
        <v>1.0</v>
      </c>
      <c r="Y157" s="76">
        <v>1.0</v>
      </c>
      <c r="Z157" s="76">
        <v>1.0</v>
      </c>
      <c r="AB157" s="112" t="s">
        <v>93</v>
      </c>
      <c r="AC157" s="103">
        <f>A138</f>
        <v>0</v>
      </c>
      <c r="AD157" s="103">
        <f>J138</f>
        <v>2</v>
      </c>
      <c r="AE157" s="103">
        <f>S138</f>
        <v>0</v>
      </c>
      <c r="AF157" s="103">
        <f>AB138</f>
        <v>0</v>
      </c>
      <c r="AG157" s="103">
        <f>A167</f>
        <v>0</v>
      </c>
      <c r="AH157" s="103">
        <f>J167</f>
        <v>0</v>
      </c>
      <c r="AI157" s="103">
        <f>S167</f>
        <v>11.33333333</v>
      </c>
    </row>
    <row r="158">
      <c r="A158" s="39"/>
      <c r="B158" s="40" t="s">
        <v>42</v>
      </c>
      <c r="C158" s="79"/>
      <c r="D158" s="79"/>
      <c r="E158" s="79"/>
      <c r="F158" s="79"/>
      <c r="G158" s="79"/>
      <c r="H158" s="79"/>
      <c r="J158" s="39"/>
      <c r="K158" s="40" t="s">
        <v>42</v>
      </c>
      <c r="L158" s="79"/>
      <c r="M158" s="79"/>
      <c r="N158" s="79"/>
      <c r="O158" s="79"/>
      <c r="P158" s="79"/>
      <c r="Q158" s="79"/>
      <c r="S158" s="39"/>
      <c r="T158" s="40" t="s">
        <v>42</v>
      </c>
      <c r="U158" s="76">
        <v>1.0</v>
      </c>
      <c r="V158" s="76">
        <v>1.0</v>
      </c>
      <c r="W158" s="76">
        <v>1.0</v>
      </c>
      <c r="X158" s="27">
        <v>2.0</v>
      </c>
      <c r="Y158" s="27">
        <v>2.0</v>
      </c>
      <c r="Z158" s="27">
        <v>2.0</v>
      </c>
      <c r="AB158" s="113"/>
      <c r="AC158" s="105" t="s">
        <v>86</v>
      </c>
      <c r="AD158" s="59"/>
      <c r="AE158" s="106">
        <f>SUM(AC157:AI157)</f>
        <v>13.33333333</v>
      </c>
      <c r="AF158" s="107" t="s">
        <v>87</v>
      </c>
      <c r="AG158" s="62"/>
      <c r="AH158" s="103">
        <f>AVERAGE(AC157:AI157)</f>
        <v>1.904761905</v>
      </c>
      <c r="AI158" s="22"/>
    </row>
    <row r="159">
      <c r="A159" s="41">
        <f>COUNTIF(C152:H175,"=2")/6</f>
        <v>0</v>
      </c>
      <c r="B159" s="40" t="s">
        <v>43</v>
      </c>
      <c r="C159" s="79"/>
      <c r="D159" s="79"/>
      <c r="E159" s="79"/>
      <c r="F159" s="79"/>
      <c r="G159" s="79"/>
      <c r="H159" s="79"/>
      <c r="J159" s="41">
        <f>COUNTIF(L152:Q175,"=2")/6</f>
        <v>0</v>
      </c>
      <c r="K159" s="40" t="s">
        <v>43</v>
      </c>
      <c r="L159" s="79"/>
      <c r="M159" s="79"/>
      <c r="N159" s="79"/>
      <c r="O159" s="79"/>
      <c r="P159" s="79"/>
      <c r="Q159" s="79"/>
      <c r="S159" s="41">
        <f>COUNTIF(U152:Z175,"=2")/6</f>
        <v>3.666666667</v>
      </c>
      <c r="T159" s="40" t="s">
        <v>43</v>
      </c>
      <c r="U159" s="74">
        <v>4.0</v>
      </c>
      <c r="V159" s="74">
        <v>4.0</v>
      </c>
      <c r="W159" s="74">
        <v>4.0</v>
      </c>
      <c r="X159" s="74">
        <v>4.0</v>
      </c>
      <c r="Y159" s="27">
        <v>2.0</v>
      </c>
      <c r="Z159" s="27">
        <v>2.0</v>
      </c>
      <c r="AB159" s="114" t="s">
        <v>98</v>
      </c>
      <c r="AC159" s="103">
        <f>A142</f>
        <v>0</v>
      </c>
      <c r="AD159" s="103">
        <f>J142</f>
        <v>7</v>
      </c>
      <c r="AE159" s="103">
        <f>S142</f>
        <v>0</v>
      </c>
      <c r="AF159" s="103">
        <f>AB142</f>
        <v>0</v>
      </c>
      <c r="AG159" s="103">
        <f>A171</f>
        <v>0</v>
      </c>
      <c r="AH159" s="103">
        <f>J171</f>
        <v>0</v>
      </c>
      <c r="AI159" s="103">
        <f>S171</f>
        <v>2.5</v>
      </c>
    </row>
    <row r="160">
      <c r="A160" s="44" t="s">
        <v>44</v>
      </c>
      <c r="B160" s="40" t="s">
        <v>45</v>
      </c>
      <c r="C160" s="79"/>
      <c r="D160" s="79"/>
      <c r="E160" s="79"/>
      <c r="F160" s="79"/>
      <c r="G160" s="79"/>
      <c r="H160" s="79"/>
      <c r="J160" s="44" t="s">
        <v>44</v>
      </c>
      <c r="K160" s="40" t="s">
        <v>45</v>
      </c>
      <c r="L160" s="79"/>
      <c r="M160" s="79"/>
      <c r="N160" s="79"/>
      <c r="O160" s="79"/>
      <c r="P160" s="79"/>
      <c r="Q160" s="79"/>
      <c r="S160" s="44" t="s">
        <v>44</v>
      </c>
      <c r="T160" s="40" t="s">
        <v>45</v>
      </c>
      <c r="U160" s="27">
        <v>2.0</v>
      </c>
      <c r="V160" s="27">
        <v>2.0</v>
      </c>
      <c r="W160" s="74">
        <v>4.0</v>
      </c>
      <c r="X160" s="74">
        <v>4.0</v>
      </c>
      <c r="Y160" s="74">
        <v>4.0</v>
      </c>
      <c r="Z160" s="27">
        <v>2.0</v>
      </c>
      <c r="AB160" s="115"/>
      <c r="AC160" s="105" t="s">
        <v>86</v>
      </c>
      <c r="AD160" s="59"/>
      <c r="AE160" s="106">
        <f>SUM(AC159:AI159)</f>
        <v>9.5</v>
      </c>
      <c r="AF160" s="107" t="s">
        <v>87</v>
      </c>
      <c r="AG160" s="62"/>
      <c r="AH160" s="103">
        <f>AVERAGE(AC159:AI159)</f>
        <v>1.357142857</v>
      </c>
      <c r="AI160" s="116"/>
    </row>
    <row r="161">
      <c r="A161" s="38"/>
      <c r="B161" s="34" t="s">
        <v>47</v>
      </c>
      <c r="C161" s="79"/>
      <c r="D161" s="79"/>
      <c r="E161" s="79"/>
      <c r="F161" s="79"/>
      <c r="G161" s="79"/>
      <c r="H161" s="79"/>
      <c r="J161" s="38"/>
      <c r="K161" s="34" t="s">
        <v>47</v>
      </c>
      <c r="L161" s="79"/>
      <c r="M161" s="79"/>
      <c r="N161" s="79"/>
      <c r="O161" s="79"/>
      <c r="P161" s="79"/>
      <c r="Q161" s="79"/>
      <c r="S161" s="38"/>
      <c r="T161" s="34" t="s">
        <v>47</v>
      </c>
      <c r="U161" s="74">
        <v>4.0</v>
      </c>
      <c r="V161" s="74">
        <v>4.0</v>
      </c>
      <c r="W161" s="74">
        <v>4.0</v>
      </c>
      <c r="X161" s="74">
        <v>4.0</v>
      </c>
      <c r="Y161" s="74">
        <v>4.0</v>
      </c>
      <c r="Z161" s="74">
        <v>4.0</v>
      </c>
      <c r="AI161" s="22"/>
    </row>
    <row r="162">
      <c r="A162" s="39"/>
      <c r="B162" s="40" t="s">
        <v>22</v>
      </c>
      <c r="C162" s="79"/>
      <c r="D162" s="79"/>
      <c r="E162" s="79"/>
      <c r="F162" s="79"/>
      <c r="G162" s="79"/>
      <c r="H162" s="79"/>
      <c r="J162" s="39"/>
      <c r="K162" s="40" t="s">
        <v>22</v>
      </c>
      <c r="L162" s="79"/>
      <c r="M162" s="79"/>
      <c r="N162" s="79"/>
      <c r="O162" s="79"/>
      <c r="P162" s="79"/>
      <c r="Q162" s="79"/>
      <c r="S162" s="39"/>
      <c r="T162" s="40" t="s">
        <v>22</v>
      </c>
      <c r="U162" s="74">
        <v>4.0</v>
      </c>
      <c r="V162" s="74">
        <v>4.0</v>
      </c>
      <c r="W162" s="74">
        <v>4.0</v>
      </c>
      <c r="X162" s="74">
        <v>4.0</v>
      </c>
      <c r="Y162" s="74">
        <v>4.0</v>
      </c>
      <c r="Z162" s="74">
        <v>4.0</v>
      </c>
      <c r="AI162" s="22"/>
    </row>
    <row r="163">
      <c r="A163" s="41">
        <f>COUNTIF(C152:H175,"=3")/6</f>
        <v>0</v>
      </c>
      <c r="B163" s="40" t="s">
        <v>50</v>
      </c>
      <c r="C163" s="79"/>
      <c r="D163" s="79"/>
      <c r="E163" s="79"/>
      <c r="F163" s="79"/>
      <c r="G163" s="79"/>
      <c r="H163" s="79"/>
      <c r="J163" s="41">
        <f>COUNTIF(L152:Q175,"=3")/6</f>
        <v>0</v>
      </c>
      <c r="K163" s="40" t="s">
        <v>50</v>
      </c>
      <c r="L163" s="79"/>
      <c r="M163" s="79"/>
      <c r="N163" s="79"/>
      <c r="O163" s="79"/>
      <c r="P163" s="79"/>
      <c r="Q163" s="79"/>
      <c r="S163" s="41">
        <f>COUNTIF(U152:Z175,"=3")/6</f>
        <v>0.5</v>
      </c>
      <c r="T163" s="40" t="s">
        <v>50</v>
      </c>
      <c r="U163" s="74">
        <v>4.0</v>
      </c>
      <c r="V163" s="74">
        <v>4.0</v>
      </c>
      <c r="W163" s="74">
        <v>4.0</v>
      </c>
      <c r="X163" s="74">
        <v>4.0</v>
      </c>
      <c r="Y163" s="74">
        <v>4.0</v>
      </c>
      <c r="Z163" s="74">
        <v>4.0</v>
      </c>
      <c r="AI163" s="22"/>
    </row>
    <row r="164">
      <c r="A164" s="87" t="s">
        <v>51</v>
      </c>
      <c r="B164" s="40" t="s">
        <v>52</v>
      </c>
      <c r="C164" s="79"/>
      <c r="D164" s="79"/>
      <c r="E164" s="79"/>
      <c r="F164" s="79"/>
      <c r="G164" s="79"/>
      <c r="H164" s="79"/>
      <c r="J164" s="87" t="s">
        <v>51</v>
      </c>
      <c r="K164" s="40" t="s">
        <v>52</v>
      </c>
      <c r="L164" s="79"/>
      <c r="M164" s="79"/>
      <c r="N164" s="79"/>
      <c r="O164" s="79"/>
      <c r="P164" s="79"/>
      <c r="Q164" s="79"/>
      <c r="S164" s="87" t="s">
        <v>51</v>
      </c>
      <c r="T164" s="40" t="s">
        <v>52</v>
      </c>
      <c r="U164" s="74">
        <v>4.0</v>
      </c>
      <c r="V164" s="74">
        <v>4.0</v>
      </c>
      <c r="W164" s="74">
        <v>4.0</v>
      </c>
      <c r="X164" s="74">
        <v>4.0</v>
      </c>
      <c r="Y164" s="74">
        <v>4.0</v>
      </c>
      <c r="Z164" s="74">
        <v>4.0</v>
      </c>
      <c r="AI164" s="22"/>
    </row>
    <row r="165">
      <c r="A165" s="89"/>
      <c r="B165" s="34" t="s">
        <v>54</v>
      </c>
      <c r="C165" s="79"/>
      <c r="D165" s="79"/>
      <c r="E165" s="79"/>
      <c r="F165" s="79"/>
      <c r="G165" s="79"/>
      <c r="H165" s="79"/>
      <c r="J165" s="89"/>
      <c r="K165" s="34" t="s">
        <v>54</v>
      </c>
      <c r="L165" s="79"/>
      <c r="M165" s="79"/>
      <c r="N165" s="79"/>
      <c r="O165" s="79"/>
      <c r="P165" s="79"/>
      <c r="Q165" s="79"/>
      <c r="S165" s="89"/>
      <c r="T165" s="34" t="s">
        <v>54</v>
      </c>
      <c r="U165" s="74">
        <v>4.0</v>
      </c>
      <c r="V165" s="74">
        <v>4.0</v>
      </c>
      <c r="W165" s="74">
        <v>4.0</v>
      </c>
      <c r="X165" s="74">
        <v>4.0</v>
      </c>
      <c r="Y165" s="74">
        <v>4.0</v>
      </c>
      <c r="Z165" s="74">
        <v>4.0</v>
      </c>
      <c r="AI165" s="22"/>
    </row>
    <row r="166">
      <c r="A166" s="93"/>
      <c r="B166" s="40" t="s">
        <v>58</v>
      </c>
      <c r="C166" s="79"/>
      <c r="D166" s="79"/>
      <c r="E166" s="79"/>
      <c r="F166" s="79"/>
      <c r="G166" s="79"/>
      <c r="H166" s="79"/>
      <c r="J166" s="93"/>
      <c r="K166" s="40" t="s">
        <v>58</v>
      </c>
      <c r="L166" s="79"/>
      <c r="M166" s="79"/>
      <c r="N166" s="79"/>
      <c r="O166" s="79"/>
      <c r="P166" s="79"/>
      <c r="Q166" s="79"/>
      <c r="S166" s="93"/>
      <c r="T166" s="40" t="s">
        <v>58</v>
      </c>
      <c r="U166" s="74">
        <v>4.0</v>
      </c>
      <c r="V166" s="74">
        <v>4.0</v>
      </c>
      <c r="W166" s="74">
        <v>4.0</v>
      </c>
      <c r="X166" s="74">
        <v>4.0</v>
      </c>
      <c r="Y166" s="74">
        <v>4.0</v>
      </c>
      <c r="Z166" s="74">
        <v>4.0</v>
      </c>
      <c r="AI166" s="22"/>
    </row>
    <row r="167">
      <c r="A167" s="41">
        <f>COUNTIF(C152:H175,"=4")/6</f>
        <v>0</v>
      </c>
      <c r="B167" s="40" t="s">
        <v>59</v>
      </c>
      <c r="C167" s="79"/>
      <c r="D167" s="79"/>
      <c r="E167" s="79"/>
      <c r="F167" s="79"/>
      <c r="G167" s="79"/>
      <c r="H167" s="79"/>
      <c r="J167" s="41">
        <f>COUNTIF(L152:Q175,"=4")/6</f>
        <v>0</v>
      </c>
      <c r="K167" s="40" t="s">
        <v>59</v>
      </c>
      <c r="L167" s="79"/>
      <c r="M167" s="79"/>
      <c r="N167" s="79"/>
      <c r="O167" s="79"/>
      <c r="P167" s="79"/>
      <c r="Q167" s="79"/>
      <c r="S167" s="41">
        <f>COUNTIF(U152:Z175,"=4")/6</f>
        <v>11.33333333</v>
      </c>
      <c r="T167" s="40" t="s">
        <v>59</v>
      </c>
      <c r="U167" s="74">
        <v>4.0</v>
      </c>
      <c r="V167" s="74">
        <v>4.0</v>
      </c>
      <c r="W167" s="74">
        <v>4.0</v>
      </c>
      <c r="X167" s="74">
        <v>4.0</v>
      </c>
      <c r="Y167" s="74">
        <v>4.0</v>
      </c>
      <c r="Z167" s="74">
        <v>4.0</v>
      </c>
      <c r="AI167" s="22"/>
    </row>
    <row r="168">
      <c r="A168" s="96" t="s">
        <v>60</v>
      </c>
      <c r="B168" s="40" t="s">
        <v>61</v>
      </c>
      <c r="C168" s="79"/>
      <c r="D168" s="79"/>
      <c r="E168" s="79"/>
      <c r="F168" s="79"/>
      <c r="G168" s="79"/>
      <c r="H168" s="79"/>
      <c r="J168" s="96" t="s">
        <v>60</v>
      </c>
      <c r="K168" s="40" t="s">
        <v>61</v>
      </c>
      <c r="L168" s="79"/>
      <c r="M168" s="79"/>
      <c r="N168" s="79"/>
      <c r="O168" s="79"/>
      <c r="P168" s="79"/>
      <c r="Q168" s="79"/>
      <c r="S168" s="96" t="s">
        <v>60</v>
      </c>
      <c r="T168" s="40" t="s">
        <v>61</v>
      </c>
      <c r="U168" s="74">
        <v>4.0</v>
      </c>
      <c r="V168" s="74">
        <v>4.0</v>
      </c>
      <c r="W168" s="74">
        <v>4.0</v>
      </c>
      <c r="X168" s="74">
        <v>4.0</v>
      </c>
      <c r="Y168" s="74">
        <v>4.0</v>
      </c>
      <c r="Z168" s="74">
        <v>4.0</v>
      </c>
      <c r="AI168" s="22"/>
    </row>
    <row r="169">
      <c r="A169" s="89"/>
      <c r="B169" s="34" t="s">
        <v>63</v>
      </c>
      <c r="C169" s="79"/>
      <c r="D169" s="79"/>
      <c r="E169" s="79"/>
      <c r="F169" s="79"/>
      <c r="G169" s="79"/>
      <c r="H169" s="79"/>
      <c r="J169" s="89"/>
      <c r="K169" s="34" t="s">
        <v>63</v>
      </c>
      <c r="L169" s="79"/>
      <c r="M169" s="79"/>
      <c r="N169" s="79"/>
      <c r="O169" s="79"/>
      <c r="P169" s="79"/>
      <c r="Q169" s="79"/>
      <c r="S169" s="89"/>
      <c r="T169" s="34" t="s">
        <v>63</v>
      </c>
      <c r="U169" s="74">
        <v>4.0</v>
      </c>
      <c r="V169" s="74">
        <v>4.0</v>
      </c>
      <c r="W169" s="74">
        <v>4.0</v>
      </c>
      <c r="X169" s="74">
        <v>4.0</v>
      </c>
      <c r="Y169" s="74">
        <v>4.0</v>
      </c>
      <c r="Z169" s="74">
        <v>4.0</v>
      </c>
      <c r="AI169" s="22"/>
    </row>
    <row r="170">
      <c r="A170" s="93"/>
      <c r="B170" s="40" t="s">
        <v>67</v>
      </c>
      <c r="C170" s="79"/>
      <c r="D170" s="79"/>
      <c r="E170" s="79"/>
      <c r="F170" s="79"/>
      <c r="G170" s="79"/>
      <c r="H170" s="79"/>
      <c r="J170" s="93"/>
      <c r="K170" s="40" t="s">
        <v>67</v>
      </c>
      <c r="L170" s="79"/>
      <c r="M170" s="79"/>
      <c r="N170" s="79"/>
      <c r="O170" s="79"/>
      <c r="P170" s="79"/>
      <c r="Q170" s="79"/>
      <c r="S170" s="93"/>
      <c r="T170" s="40" t="s">
        <v>67</v>
      </c>
      <c r="U170" s="27">
        <v>2.0</v>
      </c>
      <c r="V170" s="74">
        <v>4.0</v>
      </c>
      <c r="W170" s="74">
        <v>4.0</v>
      </c>
      <c r="X170" s="74">
        <v>4.0</v>
      </c>
      <c r="Y170" s="74">
        <v>4.0</v>
      </c>
      <c r="Z170" s="74">
        <v>4.0</v>
      </c>
      <c r="AI170" s="22"/>
    </row>
    <row r="171">
      <c r="A171" s="41">
        <f>COUNTIF(C152:H175,"=5")/6</f>
        <v>0</v>
      </c>
      <c r="B171" s="40" t="s">
        <v>68</v>
      </c>
      <c r="C171" s="79"/>
      <c r="D171" s="79"/>
      <c r="E171" s="79"/>
      <c r="F171" s="79"/>
      <c r="G171" s="79"/>
      <c r="H171" s="79"/>
      <c r="J171" s="41">
        <f>COUNTIF(L152:Q175,"=5")/6</f>
        <v>0</v>
      </c>
      <c r="K171" s="40" t="s">
        <v>68</v>
      </c>
      <c r="L171" s="79"/>
      <c r="M171" s="79"/>
      <c r="N171" s="79"/>
      <c r="O171" s="79"/>
      <c r="P171" s="79"/>
      <c r="Q171" s="79"/>
      <c r="S171" s="41">
        <f>COUNTIF(U152:Z175,"=5")/6</f>
        <v>2.5</v>
      </c>
      <c r="T171" s="40" t="s">
        <v>68</v>
      </c>
      <c r="U171" s="27">
        <v>2.0</v>
      </c>
      <c r="V171" s="27">
        <v>2.0</v>
      </c>
      <c r="W171" s="74">
        <v>4.0</v>
      </c>
      <c r="X171" s="74">
        <v>4.0</v>
      </c>
      <c r="Y171" s="27">
        <v>2.0</v>
      </c>
      <c r="Z171" s="27">
        <v>2.0</v>
      </c>
      <c r="AI171" s="22"/>
    </row>
    <row r="172">
      <c r="A172" s="48" t="s">
        <v>69</v>
      </c>
      <c r="B172" s="40" t="s">
        <v>23</v>
      </c>
      <c r="C172" s="79"/>
      <c r="D172" s="79"/>
      <c r="E172" s="79"/>
      <c r="F172" s="79"/>
      <c r="G172" s="79"/>
      <c r="H172" s="79"/>
      <c r="J172" s="48" t="s">
        <v>69</v>
      </c>
      <c r="K172" s="40" t="s">
        <v>23</v>
      </c>
      <c r="L172" s="79"/>
      <c r="M172" s="79"/>
      <c r="N172" s="79"/>
      <c r="O172" s="79"/>
      <c r="P172" s="79"/>
      <c r="Q172" s="79"/>
      <c r="S172" s="48" t="s">
        <v>69</v>
      </c>
      <c r="T172" s="40" t="s">
        <v>23</v>
      </c>
      <c r="U172" s="27">
        <v>2.0</v>
      </c>
      <c r="V172" s="27">
        <v>2.0</v>
      </c>
      <c r="W172" s="27">
        <v>2.0</v>
      </c>
      <c r="X172" s="27">
        <v>2.0</v>
      </c>
      <c r="Y172" s="27">
        <v>2.0</v>
      </c>
      <c r="Z172" s="27">
        <v>2.0</v>
      </c>
      <c r="AI172" s="22"/>
    </row>
    <row r="173">
      <c r="A173" s="93"/>
      <c r="B173" s="34" t="s">
        <v>70</v>
      </c>
      <c r="C173" s="79"/>
      <c r="D173" s="79"/>
      <c r="E173" s="79"/>
      <c r="F173" s="79"/>
      <c r="G173" s="79"/>
      <c r="H173" s="79"/>
      <c r="J173" s="93"/>
      <c r="K173" s="34" t="s">
        <v>70</v>
      </c>
      <c r="L173" s="79"/>
      <c r="M173" s="79"/>
      <c r="N173" s="79"/>
      <c r="O173" s="79"/>
      <c r="P173" s="79"/>
      <c r="Q173" s="79"/>
      <c r="S173" s="93"/>
      <c r="T173" s="34" t="s">
        <v>70</v>
      </c>
      <c r="U173" s="75">
        <v>5.0</v>
      </c>
      <c r="V173" s="75">
        <v>5.0</v>
      </c>
      <c r="W173" s="75">
        <v>5.0</v>
      </c>
      <c r="X173" s="75">
        <v>5.0</v>
      </c>
      <c r="Y173" s="75">
        <v>5.0</v>
      </c>
      <c r="Z173" s="75">
        <v>5.0</v>
      </c>
      <c r="AI173" s="22"/>
    </row>
    <row r="174">
      <c r="A174" s="97"/>
      <c r="B174" s="34" t="s">
        <v>72</v>
      </c>
      <c r="C174" s="79"/>
      <c r="D174" s="79"/>
      <c r="E174" s="79"/>
      <c r="F174" s="79"/>
      <c r="G174" s="79"/>
      <c r="H174" s="79"/>
      <c r="J174" s="97"/>
      <c r="K174" s="34" t="s">
        <v>72</v>
      </c>
      <c r="L174" s="79"/>
      <c r="M174" s="79"/>
      <c r="N174" s="79"/>
      <c r="O174" s="79"/>
      <c r="P174" s="79"/>
      <c r="Q174" s="79"/>
      <c r="S174" s="97"/>
      <c r="T174" s="34" t="s">
        <v>72</v>
      </c>
      <c r="U174" s="75">
        <v>5.0</v>
      </c>
      <c r="V174" s="75">
        <v>5.0</v>
      </c>
      <c r="W174" s="75">
        <v>5.0</v>
      </c>
      <c r="X174" s="75">
        <v>5.0</v>
      </c>
      <c r="Y174" s="75">
        <v>5.0</v>
      </c>
      <c r="Z174" s="75">
        <v>5.0</v>
      </c>
      <c r="AI174" s="22"/>
    </row>
    <row r="175">
      <c r="A175" s="98"/>
      <c r="B175" s="34" t="s">
        <v>73</v>
      </c>
      <c r="C175" s="79"/>
      <c r="D175" s="79"/>
      <c r="E175" s="79"/>
      <c r="F175" s="79"/>
      <c r="G175" s="79"/>
      <c r="H175" s="79"/>
      <c r="J175" s="98"/>
      <c r="K175" s="34" t="s">
        <v>73</v>
      </c>
      <c r="L175" s="79"/>
      <c r="M175" s="79"/>
      <c r="N175" s="79"/>
      <c r="O175" s="79"/>
      <c r="P175" s="79"/>
      <c r="Q175" s="79"/>
      <c r="S175" s="98"/>
      <c r="T175" s="34" t="s">
        <v>73</v>
      </c>
      <c r="U175" s="75">
        <v>5.0</v>
      </c>
      <c r="V175" s="75">
        <v>5.0</v>
      </c>
      <c r="W175" s="75">
        <v>5.0</v>
      </c>
      <c r="X175" s="27">
        <v>2.0</v>
      </c>
      <c r="Y175" s="27">
        <v>2.0</v>
      </c>
      <c r="Z175" s="27">
        <v>2.0</v>
      </c>
      <c r="AI175" s="22"/>
    </row>
    <row r="176">
      <c r="A176" s="99">
        <f>SUM(A155,A159,A163,A167,A171)</f>
        <v>0</v>
      </c>
      <c r="J176" s="99">
        <f>SUM(J155,J159,J163,J167,J171)</f>
        <v>0</v>
      </c>
      <c r="S176" s="99">
        <f>SUM(S155,S159,S163,S167,S171)</f>
        <v>24</v>
      </c>
      <c r="AI176" s="22"/>
    </row>
    <row r="177">
      <c r="A177" s="117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  <c r="AH177" s="118"/>
      <c r="AI177" s="116"/>
    </row>
    <row r="178">
      <c r="A178" s="15" t="s">
        <v>213</v>
      </c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59"/>
    </row>
    <row r="179">
      <c r="A179" s="19"/>
      <c r="J179" s="20"/>
      <c r="S179" s="21"/>
      <c r="AB179" s="21"/>
      <c r="AI179" s="22"/>
    </row>
    <row r="180">
      <c r="A180" s="70" t="s">
        <v>214</v>
      </c>
      <c r="B180" s="72" t="s">
        <v>16</v>
      </c>
      <c r="C180" s="73"/>
      <c r="D180" s="76">
        <v>1.0</v>
      </c>
      <c r="E180" s="27">
        <v>2.0</v>
      </c>
      <c r="F180" s="28">
        <v>3.0</v>
      </c>
      <c r="G180" s="74">
        <v>4.0</v>
      </c>
      <c r="H180" s="75">
        <v>5.0</v>
      </c>
      <c r="J180" s="70" t="s">
        <v>102</v>
      </c>
      <c r="K180" s="72" t="s">
        <v>16</v>
      </c>
      <c r="L180" s="73"/>
      <c r="M180" s="76">
        <v>1.0</v>
      </c>
      <c r="N180" s="27">
        <v>2.0</v>
      </c>
      <c r="O180" s="28">
        <v>3.0</v>
      </c>
      <c r="P180" s="74">
        <v>4.0</v>
      </c>
      <c r="Q180" s="75">
        <v>5.0</v>
      </c>
      <c r="S180" s="70" t="s">
        <v>103</v>
      </c>
      <c r="T180" s="72" t="s">
        <v>16</v>
      </c>
      <c r="U180" s="73"/>
      <c r="V180" s="76">
        <v>1.0</v>
      </c>
      <c r="W180" s="27">
        <v>2.0</v>
      </c>
      <c r="X180" s="28">
        <v>3.0</v>
      </c>
      <c r="Y180" s="74">
        <v>4.0</v>
      </c>
      <c r="Z180" s="75">
        <v>5.0</v>
      </c>
      <c r="AB180" s="70" t="s">
        <v>104</v>
      </c>
      <c r="AC180" s="72" t="s">
        <v>16</v>
      </c>
      <c r="AD180" s="73"/>
      <c r="AE180" s="76">
        <v>1.0</v>
      </c>
      <c r="AF180" s="27">
        <v>2.0</v>
      </c>
      <c r="AG180" s="28">
        <v>3.0</v>
      </c>
      <c r="AH180" s="74">
        <v>4.0</v>
      </c>
      <c r="AI180" s="75">
        <v>5.0</v>
      </c>
    </row>
    <row r="181">
      <c r="A181" s="77" t="s">
        <v>20</v>
      </c>
      <c r="B181" s="78" t="s">
        <v>21</v>
      </c>
      <c r="C181" s="78" t="s">
        <v>22</v>
      </c>
      <c r="D181" s="78" t="s">
        <v>23</v>
      </c>
      <c r="E181" s="78" t="s">
        <v>24</v>
      </c>
      <c r="F181" s="78" t="s">
        <v>25</v>
      </c>
      <c r="G181" s="78" t="s">
        <v>26</v>
      </c>
      <c r="H181" s="78" t="s">
        <v>27</v>
      </c>
      <c r="J181" s="77" t="s">
        <v>20</v>
      </c>
      <c r="K181" s="78" t="s">
        <v>21</v>
      </c>
      <c r="L181" s="78" t="s">
        <v>22</v>
      </c>
      <c r="M181" s="78" t="s">
        <v>23</v>
      </c>
      <c r="N181" s="78" t="s">
        <v>24</v>
      </c>
      <c r="O181" s="78" t="s">
        <v>25</v>
      </c>
      <c r="P181" s="78" t="s">
        <v>26</v>
      </c>
      <c r="Q181" s="78" t="s">
        <v>27</v>
      </c>
      <c r="S181" s="77" t="s">
        <v>20</v>
      </c>
      <c r="T181" s="78" t="s">
        <v>21</v>
      </c>
      <c r="U181" s="78" t="s">
        <v>22</v>
      </c>
      <c r="V181" s="78" t="s">
        <v>23</v>
      </c>
      <c r="W181" s="78" t="s">
        <v>24</v>
      </c>
      <c r="X181" s="78" t="s">
        <v>25</v>
      </c>
      <c r="Y181" s="78" t="s">
        <v>26</v>
      </c>
      <c r="Z181" s="78" t="s">
        <v>27</v>
      </c>
      <c r="AB181" s="77" t="s">
        <v>20</v>
      </c>
      <c r="AC181" s="78" t="s">
        <v>21</v>
      </c>
      <c r="AD181" s="78" t="s">
        <v>22</v>
      </c>
      <c r="AE181" s="78" t="s">
        <v>23</v>
      </c>
      <c r="AF181" s="78" t="s">
        <v>24</v>
      </c>
      <c r="AG181" s="78" t="s">
        <v>25</v>
      </c>
      <c r="AH181" s="78" t="s">
        <v>26</v>
      </c>
      <c r="AI181" s="78" t="s">
        <v>27</v>
      </c>
    </row>
    <row r="182">
      <c r="A182" s="33" t="s">
        <v>28</v>
      </c>
      <c r="B182" s="34" t="s">
        <v>21</v>
      </c>
      <c r="C182" s="27">
        <v>2.0</v>
      </c>
      <c r="D182" s="27">
        <v>2.0</v>
      </c>
      <c r="E182" s="28">
        <v>3.0</v>
      </c>
      <c r="F182" s="28">
        <v>3.0</v>
      </c>
      <c r="G182" s="28">
        <v>3.0</v>
      </c>
      <c r="H182" s="28">
        <v>3.0</v>
      </c>
      <c r="J182" s="33" t="s">
        <v>28</v>
      </c>
      <c r="K182" s="34" t="s">
        <v>21</v>
      </c>
      <c r="L182" s="79"/>
      <c r="M182" s="79"/>
      <c r="N182" s="79"/>
      <c r="O182" s="79"/>
      <c r="P182" s="79"/>
      <c r="Q182" s="79"/>
      <c r="S182" s="35" t="s">
        <v>28</v>
      </c>
      <c r="T182" s="34" t="s">
        <v>21</v>
      </c>
      <c r="U182" s="79"/>
      <c r="V182" s="79"/>
      <c r="W182" s="79"/>
      <c r="X182" s="79"/>
      <c r="Y182" s="79"/>
      <c r="Z182" s="79"/>
      <c r="AB182" s="35" t="s">
        <v>28</v>
      </c>
      <c r="AC182" s="34" t="s">
        <v>21</v>
      </c>
      <c r="AD182" s="79"/>
      <c r="AE182" s="79"/>
      <c r="AF182" s="79"/>
      <c r="AG182" s="79"/>
      <c r="AH182" s="79"/>
      <c r="AI182" s="79"/>
    </row>
    <row r="183">
      <c r="A183" s="38"/>
      <c r="B183" s="34" t="s">
        <v>30</v>
      </c>
      <c r="C183" s="28">
        <v>3.0</v>
      </c>
      <c r="D183" s="28">
        <v>3.0</v>
      </c>
      <c r="E183" s="28">
        <v>3.0</v>
      </c>
      <c r="F183" s="28">
        <v>3.0</v>
      </c>
      <c r="G183" s="28">
        <v>3.0</v>
      </c>
      <c r="H183" s="76">
        <v>1.0</v>
      </c>
      <c r="I183" s="81" t="s">
        <v>31</v>
      </c>
      <c r="J183" s="38"/>
      <c r="K183" s="34" t="s">
        <v>30</v>
      </c>
      <c r="L183" s="79"/>
      <c r="M183" s="79"/>
      <c r="N183" s="79"/>
      <c r="O183" s="79"/>
      <c r="P183" s="79"/>
      <c r="Q183" s="79"/>
      <c r="S183" s="38"/>
      <c r="T183" s="34" t="s">
        <v>30</v>
      </c>
      <c r="U183" s="79"/>
      <c r="V183" s="79"/>
      <c r="W183" s="79"/>
      <c r="X183" s="79"/>
      <c r="Y183" s="79"/>
      <c r="Z183" s="79"/>
      <c r="AB183" s="38"/>
      <c r="AC183" s="34" t="s">
        <v>30</v>
      </c>
      <c r="AD183" s="79"/>
      <c r="AE183" s="79"/>
      <c r="AF183" s="79"/>
      <c r="AG183" s="79"/>
      <c r="AH183" s="79"/>
      <c r="AI183" s="79"/>
    </row>
    <row r="184">
      <c r="A184" s="39"/>
      <c r="B184" s="40" t="s">
        <v>33</v>
      </c>
      <c r="C184" s="76">
        <v>1.0</v>
      </c>
      <c r="D184" s="76">
        <v>1.0</v>
      </c>
      <c r="E184" s="76">
        <v>1.0</v>
      </c>
      <c r="F184" s="76">
        <v>1.0</v>
      </c>
      <c r="G184" s="76">
        <v>1.0</v>
      </c>
      <c r="H184" s="76">
        <v>1.0</v>
      </c>
      <c r="J184" s="39"/>
      <c r="K184" s="40" t="s">
        <v>33</v>
      </c>
      <c r="L184" s="79"/>
      <c r="M184" s="79"/>
      <c r="N184" s="79"/>
      <c r="O184" s="79"/>
      <c r="P184" s="79"/>
      <c r="Q184" s="79"/>
      <c r="S184" s="39"/>
      <c r="T184" s="40" t="s">
        <v>33</v>
      </c>
      <c r="U184" s="79"/>
      <c r="V184" s="79"/>
      <c r="W184" s="79"/>
      <c r="X184" s="79"/>
      <c r="Y184" s="79"/>
      <c r="Z184" s="79"/>
      <c r="AB184" s="39"/>
      <c r="AC184" s="40" t="s">
        <v>33</v>
      </c>
      <c r="AD184" s="79"/>
      <c r="AE184" s="79"/>
      <c r="AF184" s="79"/>
      <c r="AG184" s="79"/>
      <c r="AH184" s="79"/>
      <c r="AI184" s="79"/>
    </row>
    <row r="185">
      <c r="A185" s="41">
        <f>COUNTIF(C182:H205,"=1")/6</f>
        <v>4.666666667</v>
      </c>
      <c r="B185" s="40" t="s">
        <v>34</v>
      </c>
      <c r="C185" s="76">
        <v>1.0</v>
      </c>
      <c r="D185" s="76">
        <v>1.0</v>
      </c>
      <c r="E185" s="76">
        <v>1.0</v>
      </c>
      <c r="F185" s="76">
        <v>1.0</v>
      </c>
      <c r="G185" s="76">
        <v>1.0</v>
      </c>
      <c r="H185" s="76">
        <v>1.0</v>
      </c>
      <c r="J185" s="41">
        <f>COUNTIF(L182:Q205,"=1")/6</f>
        <v>0</v>
      </c>
      <c r="K185" s="40" t="s">
        <v>34</v>
      </c>
      <c r="L185" s="79"/>
      <c r="M185" s="79"/>
      <c r="N185" s="79"/>
      <c r="O185" s="79"/>
      <c r="P185" s="79"/>
      <c r="Q185" s="79"/>
      <c r="S185" s="41">
        <f>COUNTIF(U182:Z205,"=1")/6</f>
        <v>0</v>
      </c>
      <c r="T185" s="40" t="s">
        <v>34</v>
      </c>
      <c r="U185" s="79"/>
      <c r="V185" s="79"/>
      <c r="W185" s="79"/>
      <c r="X185" s="79"/>
      <c r="Y185" s="79"/>
      <c r="Z185" s="79"/>
      <c r="AB185" s="41">
        <f>COUNTIF(AD182:AI205,"=1")/6</f>
        <v>0</v>
      </c>
      <c r="AC185" s="40" t="s">
        <v>34</v>
      </c>
      <c r="AD185" s="79"/>
      <c r="AE185" s="79"/>
      <c r="AF185" s="79"/>
      <c r="AG185" s="79"/>
      <c r="AH185" s="79"/>
      <c r="AI185" s="79"/>
    </row>
    <row r="186">
      <c r="A186" s="42" t="s">
        <v>35</v>
      </c>
      <c r="B186" s="40" t="s">
        <v>36</v>
      </c>
      <c r="C186" s="76">
        <v>1.0</v>
      </c>
      <c r="D186" s="76">
        <v>1.0</v>
      </c>
      <c r="E186" s="76">
        <v>1.0</v>
      </c>
      <c r="F186" s="76">
        <v>1.0</v>
      </c>
      <c r="G186" s="76">
        <v>1.0</v>
      </c>
      <c r="H186" s="76">
        <v>1.0</v>
      </c>
      <c r="J186" s="42" t="s">
        <v>35</v>
      </c>
      <c r="K186" s="40" t="s">
        <v>36</v>
      </c>
      <c r="L186" s="79"/>
      <c r="M186" s="79"/>
      <c r="N186" s="79"/>
      <c r="O186" s="79"/>
      <c r="P186" s="79"/>
      <c r="Q186" s="79"/>
      <c r="S186" s="42" t="s">
        <v>35</v>
      </c>
      <c r="T186" s="40" t="s">
        <v>36</v>
      </c>
      <c r="U186" s="79"/>
      <c r="V186" s="79"/>
      <c r="W186" s="79"/>
      <c r="X186" s="79"/>
      <c r="Y186" s="79"/>
      <c r="Z186" s="79"/>
      <c r="AB186" s="42" t="s">
        <v>35</v>
      </c>
      <c r="AC186" s="40" t="s">
        <v>36</v>
      </c>
      <c r="AD186" s="79"/>
      <c r="AE186" s="79"/>
      <c r="AF186" s="79"/>
      <c r="AG186" s="79"/>
      <c r="AH186" s="79"/>
      <c r="AI186" s="79"/>
    </row>
    <row r="187">
      <c r="A187" s="68"/>
      <c r="B187" s="34" t="s">
        <v>38</v>
      </c>
      <c r="C187" s="76">
        <v>1.0</v>
      </c>
      <c r="D187" s="76">
        <v>1.0</v>
      </c>
      <c r="E187" s="76">
        <v>1.0</v>
      </c>
      <c r="F187" s="76">
        <v>1.0</v>
      </c>
      <c r="G187" s="76">
        <v>1.0</v>
      </c>
      <c r="H187" s="76">
        <v>1.0</v>
      </c>
      <c r="J187" s="68"/>
      <c r="K187" s="34" t="s">
        <v>38</v>
      </c>
      <c r="L187" s="79"/>
      <c r="M187" s="79"/>
      <c r="N187" s="79"/>
      <c r="O187" s="79"/>
      <c r="P187" s="84"/>
      <c r="Q187" s="79"/>
      <c r="S187" s="68"/>
      <c r="T187" s="34" t="s">
        <v>38</v>
      </c>
      <c r="U187" s="79"/>
      <c r="V187" s="79"/>
      <c r="W187" s="79"/>
      <c r="X187" s="79"/>
      <c r="Y187" s="84"/>
      <c r="Z187" s="79"/>
      <c r="AB187" s="68"/>
      <c r="AC187" s="34" t="s">
        <v>38</v>
      </c>
      <c r="AD187" s="79"/>
      <c r="AE187" s="79"/>
      <c r="AF187" s="79"/>
      <c r="AG187" s="79"/>
      <c r="AH187" s="84"/>
      <c r="AI187" s="79"/>
    </row>
    <row r="188">
      <c r="A188" s="39"/>
      <c r="B188" s="40" t="s">
        <v>42</v>
      </c>
      <c r="C188" s="76">
        <v>1.0</v>
      </c>
      <c r="D188" s="76">
        <v>1.0</v>
      </c>
      <c r="E188" s="76">
        <v>1.0</v>
      </c>
      <c r="F188" s="27">
        <v>2.0</v>
      </c>
      <c r="G188" s="27">
        <v>2.0</v>
      </c>
      <c r="H188" s="27">
        <v>2.0</v>
      </c>
      <c r="J188" s="39"/>
      <c r="K188" s="40" t="s">
        <v>42</v>
      </c>
      <c r="L188" s="79"/>
      <c r="M188" s="79"/>
      <c r="N188" s="79"/>
      <c r="O188" s="79"/>
      <c r="P188" s="79"/>
      <c r="Q188" s="79"/>
      <c r="S188" s="39"/>
      <c r="T188" s="40" t="s">
        <v>42</v>
      </c>
      <c r="U188" s="79"/>
      <c r="V188" s="79"/>
      <c r="W188" s="79"/>
      <c r="X188" s="79"/>
      <c r="Y188" s="79"/>
      <c r="Z188" s="79"/>
      <c r="AB188" s="39"/>
      <c r="AC188" s="40" t="s">
        <v>42</v>
      </c>
      <c r="AD188" s="79"/>
      <c r="AE188" s="79"/>
      <c r="AF188" s="79"/>
      <c r="AG188" s="79"/>
      <c r="AH188" s="79"/>
      <c r="AI188" s="79"/>
    </row>
    <row r="189">
      <c r="A189" s="41">
        <f>COUNTIF(C182:H205,"=2")/6</f>
        <v>3.666666667</v>
      </c>
      <c r="B189" s="40" t="s">
        <v>43</v>
      </c>
      <c r="C189" s="27">
        <v>2.0</v>
      </c>
      <c r="D189" s="27">
        <v>2.0</v>
      </c>
      <c r="E189" s="74">
        <v>4.0</v>
      </c>
      <c r="F189" s="74">
        <v>4.0</v>
      </c>
      <c r="G189" s="74">
        <v>4.0</v>
      </c>
      <c r="H189" s="74">
        <v>4.0</v>
      </c>
      <c r="J189" s="41">
        <f>COUNTIF(L182:Q205,"=2")/6</f>
        <v>0</v>
      </c>
      <c r="K189" s="40" t="s">
        <v>43</v>
      </c>
      <c r="L189" s="79"/>
      <c r="M189" s="79"/>
      <c r="N189" s="79"/>
      <c r="O189" s="79"/>
      <c r="P189" s="79"/>
      <c r="Q189" s="79"/>
      <c r="S189" s="41">
        <f>COUNTIF(U182:Z205,"=2")/6</f>
        <v>0</v>
      </c>
      <c r="T189" s="40" t="s">
        <v>43</v>
      </c>
      <c r="U189" s="79"/>
      <c r="V189" s="79"/>
      <c r="W189" s="79"/>
      <c r="X189" s="79"/>
      <c r="Y189" s="79"/>
      <c r="Z189" s="79"/>
      <c r="AB189" s="41">
        <f>COUNTIF(AD182:AI205,"=2")/6</f>
        <v>0</v>
      </c>
      <c r="AC189" s="40" t="s">
        <v>43</v>
      </c>
      <c r="AD189" s="79"/>
      <c r="AE189" s="79"/>
      <c r="AF189" s="79"/>
      <c r="AG189" s="79"/>
      <c r="AH189" s="79"/>
      <c r="AI189" s="79"/>
    </row>
    <row r="190">
      <c r="A190" s="44" t="s">
        <v>44</v>
      </c>
      <c r="B190" s="40" t="s">
        <v>45</v>
      </c>
      <c r="C190" s="74">
        <v>4.0</v>
      </c>
      <c r="D190" s="74">
        <v>4.0</v>
      </c>
      <c r="E190" s="74">
        <v>4.0</v>
      </c>
      <c r="F190" s="27">
        <v>2.0</v>
      </c>
      <c r="G190" s="27">
        <v>2.0</v>
      </c>
      <c r="H190" s="27">
        <v>2.0</v>
      </c>
      <c r="J190" s="44" t="s">
        <v>44</v>
      </c>
      <c r="K190" s="40" t="s">
        <v>45</v>
      </c>
      <c r="L190" s="79"/>
      <c r="M190" s="79"/>
      <c r="N190" s="79"/>
      <c r="O190" s="79"/>
      <c r="P190" s="79"/>
      <c r="Q190" s="79"/>
      <c r="S190" s="44" t="s">
        <v>44</v>
      </c>
      <c r="T190" s="40" t="s">
        <v>45</v>
      </c>
      <c r="U190" s="79"/>
      <c r="V190" s="79"/>
      <c r="W190" s="79"/>
      <c r="X190" s="79"/>
      <c r="Y190" s="79"/>
      <c r="Z190" s="79"/>
      <c r="AB190" s="44" t="s">
        <v>44</v>
      </c>
      <c r="AC190" s="40" t="s">
        <v>45</v>
      </c>
      <c r="AD190" s="79"/>
      <c r="AE190" s="79"/>
      <c r="AF190" s="79"/>
      <c r="AG190" s="79"/>
      <c r="AH190" s="79"/>
      <c r="AI190" s="79"/>
    </row>
    <row r="191">
      <c r="A191" s="38"/>
      <c r="B191" s="34" t="s">
        <v>47</v>
      </c>
      <c r="C191" s="74">
        <v>4.0</v>
      </c>
      <c r="D191" s="74">
        <v>4.0</v>
      </c>
      <c r="E191" s="74">
        <v>4.0</v>
      </c>
      <c r="F191" s="74">
        <v>4.0</v>
      </c>
      <c r="G191" s="74">
        <v>4.0</v>
      </c>
      <c r="H191" s="74">
        <v>4.0</v>
      </c>
      <c r="J191" s="38"/>
      <c r="K191" s="34" t="s">
        <v>47</v>
      </c>
      <c r="L191" s="79"/>
      <c r="M191" s="79"/>
      <c r="N191" s="79"/>
      <c r="O191" s="79"/>
      <c r="P191" s="79"/>
      <c r="Q191" s="79"/>
      <c r="S191" s="38"/>
      <c r="T191" s="34" t="s">
        <v>47</v>
      </c>
      <c r="U191" s="79"/>
      <c r="V191" s="79"/>
      <c r="W191" s="79"/>
      <c r="X191" s="79"/>
      <c r="Y191" s="79"/>
      <c r="Z191" s="79"/>
      <c r="AB191" s="38"/>
      <c r="AC191" s="34" t="s">
        <v>47</v>
      </c>
      <c r="AD191" s="79"/>
      <c r="AE191" s="79"/>
      <c r="AF191" s="79"/>
      <c r="AG191" s="79"/>
      <c r="AH191" s="79"/>
      <c r="AI191" s="79"/>
    </row>
    <row r="192">
      <c r="A192" s="39"/>
      <c r="B192" s="40" t="s">
        <v>22</v>
      </c>
      <c r="C192" s="74">
        <v>4.0</v>
      </c>
      <c r="D192" s="74">
        <v>4.0</v>
      </c>
      <c r="E192" s="74">
        <v>4.0</v>
      </c>
      <c r="F192" s="74">
        <v>4.0</v>
      </c>
      <c r="G192" s="74">
        <v>4.0</v>
      </c>
      <c r="H192" s="74">
        <v>4.0</v>
      </c>
      <c r="J192" s="39"/>
      <c r="K192" s="40" t="s">
        <v>22</v>
      </c>
      <c r="L192" s="79"/>
      <c r="M192" s="79"/>
      <c r="N192" s="79"/>
      <c r="O192" s="79"/>
      <c r="P192" s="79"/>
      <c r="Q192" s="79"/>
      <c r="S192" s="39"/>
      <c r="T192" s="40" t="s">
        <v>22</v>
      </c>
      <c r="U192" s="79"/>
      <c r="V192" s="79"/>
      <c r="W192" s="79"/>
      <c r="X192" s="79"/>
      <c r="Y192" s="79"/>
      <c r="Z192" s="79"/>
      <c r="AB192" s="39"/>
      <c r="AC192" s="40" t="s">
        <v>22</v>
      </c>
      <c r="AD192" s="79"/>
      <c r="AE192" s="79"/>
      <c r="AF192" s="79"/>
      <c r="AG192" s="79"/>
      <c r="AH192" s="79"/>
      <c r="AI192" s="79"/>
    </row>
    <row r="193">
      <c r="A193" s="41">
        <f>COUNTIF(C182:H205,"=3")/6</f>
        <v>2.166666667</v>
      </c>
      <c r="B193" s="40" t="s">
        <v>50</v>
      </c>
      <c r="C193" s="74">
        <v>4.0</v>
      </c>
      <c r="D193" s="74">
        <v>4.0</v>
      </c>
      <c r="E193" s="74">
        <v>4.0</v>
      </c>
      <c r="F193" s="74">
        <v>4.0</v>
      </c>
      <c r="G193" s="74">
        <v>4.0</v>
      </c>
      <c r="H193" s="74">
        <v>4.0</v>
      </c>
      <c r="J193" s="41">
        <f>COUNTIF(L182:Q205,"=3")/6</f>
        <v>0</v>
      </c>
      <c r="K193" s="40" t="s">
        <v>50</v>
      </c>
      <c r="L193" s="79"/>
      <c r="M193" s="79"/>
      <c r="N193" s="79"/>
      <c r="O193" s="79"/>
      <c r="P193" s="79"/>
      <c r="Q193" s="79"/>
      <c r="S193" s="41">
        <f>COUNTIF(U182:Z205,"=3")/6</f>
        <v>0</v>
      </c>
      <c r="T193" s="40" t="s">
        <v>50</v>
      </c>
      <c r="U193" s="79"/>
      <c r="V193" s="79"/>
      <c r="W193" s="79"/>
      <c r="X193" s="79"/>
      <c r="Y193" s="79"/>
      <c r="Z193" s="79"/>
      <c r="AB193" s="41">
        <f>COUNTIF(AD182:AI205,"=3")/6</f>
        <v>0</v>
      </c>
      <c r="AC193" s="40" t="s">
        <v>50</v>
      </c>
      <c r="AD193" s="79"/>
      <c r="AE193" s="79"/>
      <c r="AF193" s="79"/>
      <c r="AG193" s="79"/>
      <c r="AH193" s="79"/>
      <c r="AI193" s="79"/>
    </row>
    <row r="194">
      <c r="A194" s="87" t="s">
        <v>51</v>
      </c>
      <c r="B194" s="40" t="s">
        <v>52</v>
      </c>
      <c r="C194" s="74">
        <v>4.0</v>
      </c>
      <c r="D194" s="74">
        <v>4.0</v>
      </c>
      <c r="E194" s="74">
        <v>4.0</v>
      </c>
      <c r="F194" s="74">
        <v>4.0</v>
      </c>
      <c r="G194" s="74">
        <v>4.0</v>
      </c>
      <c r="H194" s="74">
        <v>4.0</v>
      </c>
      <c r="J194" s="87" t="s">
        <v>51</v>
      </c>
      <c r="K194" s="40" t="s">
        <v>52</v>
      </c>
      <c r="L194" s="79"/>
      <c r="M194" s="79"/>
      <c r="N194" s="79"/>
      <c r="O194" s="79"/>
      <c r="P194" s="79"/>
      <c r="Q194" s="79"/>
      <c r="S194" s="87" t="s">
        <v>51</v>
      </c>
      <c r="T194" s="40" t="s">
        <v>52</v>
      </c>
      <c r="U194" s="79"/>
      <c r="V194" s="79"/>
      <c r="W194" s="79"/>
      <c r="X194" s="79"/>
      <c r="Y194" s="79"/>
      <c r="Z194" s="79"/>
      <c r="AB194" s="87" t="s">
        <v>51</v>
      </c>
      <c r="AC194" s="40" t="s">
        <v>52</v>
      </c>
      <c r="AD194" s="79"/>
      <c r="AE194" s="79"/>
      <c r="AF194" s="79"/>
      <c r="AG194" s="79"/>
      <c r="AH194" s="79"/>
      <c r="AI194" s="79"/>
    </row>
    <row r="195">
      <c r="A195" s="89" t="s">
        <v>215</v>
      </c>
      <c r="B195" s="34" t="s">
        <v>54</v>
      </c>
      <c r="C195" s="74">
        <v>4.0</v>
      </c>
      <c r="D195" s="74">
        <v>4.0</v>
      </c>
      <c r="E195" s="74">
        <v>4.0</v>
      </c>
      <c r="F195" s="74">
        <v>4.0</v>
      </c>
      <c r="G195" s="74">
        <v>4.0</v>
      </c>
      <c r="H195" s="74">
        <v>4.0</v>
      </c>
      <c r="J195" s="89"/>
      <c r="K195" s="34" t="s">
        <v>54</v>
      </c>
      <c r="L195" s="79"/>
      <c r="M195" s="79"/>
      <c r="N195" s="79"/>
      <c r="O195" s="79"/>
      <c r="P195" s="79"/>
      <c r="Q195" s="79"/>
      <c r="S195" s="89"/>
      <c r="T195" s="34" t="s">
        <v>54</v>
      </c>
      <c r="U195" s="79"/>
      <c r="V195" s="79"/>
      <c r="W195" s="79"/>
      <c r="X195" s="79"/>
      <c r="Y195" s="79"/>
      <c r="Z195" s="79"/>
      <c r="AB195" s="89"/>
      <c r="AC195" s="34" t="s">
        <v>54</v>
      </c>
      <c r="AD195" s="79"/>
      <c r="AE195" s="79"/>
      <c r="AF195" s="79"/>
      <c r="AG195" s="79"/>
      <c r="AH195" s="79"/>
      <c r="AI195" s="79"/>
    </row>
    <row r="196">
      <c r="A196" s="93" t="s">
        <v>216</v>
      </c>
      <c r="B196" s="40" t="s">
        <v>58</v>
      </c>
      <c r="C196" s="74">
        <v>4.0</v>
      </c>
      <c r="D196" s="74">
        <v>4.0</v>
      </c>
      <c r="E196" s="74">
        <v>4.0</v>
      </c>
      <c r="F196" s="74">
        <v>4.0</v>
      </c>
      <c r="G196" s="74">
        <v>4.0</v>
      </c>
      <c r="H196" s="74">
        <v>4.0</v>
      </c>
      <c r="J196" s="93"/>
      <c r="K196" s="40" t="s">
        <v>58</v>
      </c>
      <c r="L196" s="79"/>
      <c r="M196" s="79"/>
      <c r="N196" s="79"/>
      <c r="O196" s="79"/>
      <c r="P196" s="79"/>
      <c r="Q196" s="79"/>
      <c r="S196" s="93"/>
      <c r="T196" s="40" t="s">
        <v>58</v>
      </c>
      <c r="U196" s="79"/>
      <c r="V196" s="79"/>
      <c r="W196" s="79"/>
      <c r="X196" s="79"/>
      <c r="Y196" s="79"/>
      <c r="Z196" s="79"/>
      <c r="AB196" s="93"/>
      <c r="AC196" s="40" t="s">
        <v>58</v>
      </c>
      <c r="AD196" s="79"/>
      <c r="AE196" s="79"/>
      <c r="AF196" s="79"/>
      <c r="AG196" s="79"/>
      <c r="AH196" s="79"/>
      <c r="AI196" s="79"/>
    </row>
    <row r="197">
      <c r="A197" s="41">
        <f>COUNTIF(C182:H205,"=4")/6</f>
        <v>13.16666667</v>
      </c>
      <c r="B197" s="40" t="s">
        <v>59</v>
      </c>
      <c r="C197" s="74">
        <v>4.0</v>
      </c>
      <c r="D197" s="74">
        <v>4.0</v>
      </c>
      <c r="E197" s="74">
        <v>4.0</v>
      </c>
      <c r="F197" s="74">
        <v>4.0</v>
      </c>
      <c r="G197" s="74">
        <v>4.0</v>
      </c>
      <c r="H197" s="74">
        <v>4.0</v>
      </c>
      <c r="J197" s="41">
        <f>COUNTIF(L182:Q205,"=4")/6</f>
        <v>0</v>
      </c>
      <c r="K197" s="40" t="s">
        <v>59</v>
      </c>
      <c r="L197" s="79"/>
      <c r="M197" s="79"/>
      <c r="N197" s="79"/>
      <c r="O197" s="79"/>
      <c r="P197" s="79"/>
      <c r="Q197" s="79"/>
      <c r="S197" s="41">
        <f>COUNTIF(U182:Z205,"=4")/6</f>
        <v>0</v>
      </c>
      <c r="T197" s="40" t="s">
        <v>59</v>
      </c>
      <c r="U197" s="79"/>
      <c r="V197" s="79"/>
      <c r="W197" s="79"/>
      <c r="X197" s="79"/>
      <c r="Y197" s="79"/>
      <c r="Z197" s="79"/>
      <c r="AB197" s="41">
        <f>COUNTIF(AD182:AI205,"=4")/6</f>
        <v>0</v>
      </c>
      <c r="AC197" s="40" t="s">
        <v>59</v>
      </c>
      <c r="AD197" s="79"/>
      <c r="AE197" s="79"/>
      <c r="AF197" s="79"/>
      <c r="AG197" s="79"/>
      <c r="AH197" s="79"/>
      <c r="AI197" s="79"/>
    </row>
    <row r="198">
      <c r="A198" s="96" t="s">
        <v>60</v>
      </c>
      <c r="B198" s="40" t="s">
        <v>61</v>
      </c>
      <c r="C198" s="74">
        <v>4.0</v>
      </c>
      <c r="D198" s="74">
        <v>4.0</v>
      </c>
      <c r="E198" s="74">
        <v>4.0</v>
      </c>
      <c r="F198" s="74">
        <v>4.0</v>
      </c>
      <c r="G198" s="74">
        <v>4.0</v>
      </c>
      <c r="H198" s="74">
        <v>4.0</v>
      </c>
      <c r="J198" s="96" t="s">
        <v>60</v>
      </c>
      <c r="K198" s="40" t="s">
        <v>61</v>
      </c>
      <c r="L198" s="79"/>
      <c r="M198" s="79"/>
      <c r="N198" s="79"/>
      <c r="O198" s="79"/>
      <c r="P198" s="79"/>
      <c r="Q198" s="79"/>
      <c r="S198" s="96" t="s">
        <v>60</v>
      </c>
      <c r="T198" s="40" t="s">
        <v>61</v>
      </c>
      <c r="U198" s="79"/>
      <c r="V198" s="79"/>
      <c r="W198" s="79"/>
      <c r="X198" s="79"/>
      <c r="Y198" s="79"/>
      <c r="Z198" s="79"/>
      <c r="AB198" s="96" t="s">
        <v>60</v>
      </c>
      <c r="AC198" s="40" t="s">
        <v>61</v>
      </c>
      <c r="AD198" s="79"/>
      <c r="AE198" s="79"/>
      <c r="AF198" s="79"/>
      <c r="AG198" s="79"/>
      <c r="AH198" s="79"/>
      <c r="AI198" s="79"/>
    </row>
    <row r="199">
      <c r="A199" s="89" t="s">
        <v>217</v>
      </c>
      <c r="B199" s="34" t="s">
        <v>63</v>
      </c>
      <c r="C199" s="74">
        <v>4.0</v>
      </c>
      <c r="D199" s="74">
        <v>4.0</v>
      </c>
      <c r="E199" s="74">
        <v>4.0</v>
      </c>
      <c r="F199" s="74">
        <v>4.0</v>
      </c>
      <c r="G199" s="74">
        <v>4.0</v>
      </c>
      <c r="H199" s="74">
        <v>4.0</v>
      </c>
      <c r="J199" s="89"/>
      <c r="K199" s="34" t="s">
        <v>63</v>
      </c>
      <c r="L199" s="79"/>
      <c r="M199" s="79"/>
      <c r="N199" s="79"/>
      <c r="O199" s="79"/>
      <c r="P199" s="79"/>
      <c r="Q199" s="79"/>
      <c r="S199" s="89"/>
      <c r="T199" s="34" t="s">
        <v>63</v>
      </c>
      <c r="U199" s="79"/>
      <c r="V199" s="79"/>
      <c r="W199" s="79"/>
      <c r="X199" s="79"/>
      <c r="Y199" s="79"/>
      <c r="Z199" s="79"/>
      <c r="AB199" s="89"/>
      <c r="AC199" s="34" t="s">
        <v>63</v>
      </c>
      <c r="AD199" s="79"/>
      <c r="AE199" s="79"/>
      <c r="AF199" s="79"/>
      <c r="AG199" s="79"/>
      <c r="AH199" s="79"/>
      <c r="AI199" s="79"/>
    </row>
    <row r="200">
      <c r="A200" s="93"/>
      <c r="B200" s="40" t="s">
        <v>67</v>
      </c>
      <c r="C200" s="27">
        <v>2.0</v>
      </c>
      <c r="D200" s="27">
        <v>2.0</v>
      </c>
      <c r="E200" s="27">
        <v>2.0</v>
      </c>
      <c r="F200" s="27">
        <v>2.0</v>
      </c>
      <c r="G200" s="27">
        <v>2.0</v>
      </c>
      <c r="H200" s="27">
        <v>2.0</v>
      </c>
      <c r="J200" s="93"/>
      <c r="K200" s="40" t="s">
        <v>67</v>
      </c>
      <c r="L200" s="79"/>
      <c r="M200" s="79"/>
      <c r="N200" s="79"/>
      <c r="O200" s="79"/>
      <c r="P200" s="79"/>
      <c r="Q200" s="79"/>
      <c r="S200" s="93"/>
      <c r="T200" s="40" t="s">
        <v>67</v>
      </c>
      <c r="U200" s="79"/>
      <c r="V200" s="79"/>
      <c r="W200" s="79"/>
      <c r="X200" s="79"/>
      <c r="Y200" s="79"/>
      <c r="Z200" s="79"/>
      <c r="AB200" s="93"/>
      <c r="AC200" s="40" t="s">
        <v>67</v>
      </c>
      <c r="AD200" s="79"/>
      <c r="AE200" s="79"/>
      <c r="AF200" s="79"/>
      <c r="AG200" s="79"/>
      <c r="AH200" s="79"/>
      <c r="AI200" s="79"/>
    </row>
    <row r="201">
      <c r="A201" s="41">
        <f>COUNTIF(C182:H205,"=5")/6</f>
        <v>0.3333333333</v>
      </c>
      <c r="B201" s="40" t="s">
        <v>68</v>
      </c>
      <c r="C201" s="27">
        <v>2.0</v>
      </c>
      <c r="D201" s="27">
        <v>2.0</v>
      </c>
      <c r="E201" s="27">
        <v>2.0</v>
      </c>
      <c r="F201" s="27">
        <v>2.0</v>
      </c>
      <c r="G201" s="27">
        <v>2.0</v>
      </c>
      <c r="H201" s="27">
        <v>2.0</v>
      </c>
      <c r="J201" s="41">
        <f>COUNTIF(L182:Q205,"=5")/6</f>
        <v>0</v>
      </c>
      <c r="K201" s="40" t="s">
        <v>68</v>
      </c>
      <c r="L201" s="79"/>
      <c r="M201" s="79"/>
      <c r="N201" s="79"/>
      <c r="O201" s="79"/>
      <c r="P201" s="79"/>
      <c r="Q201" s="79"/>
      <c r="S201" s="41">
        <f>COUNTIF(U182:Z205,"=5")/6</f>
        <v>0</v>
      </c>
      <c r="T201" s="40" t="s">
        <v>68</v>
      </c>
      <c r="U201" s="79"/>
      <c r="V201" s="79"/>
      <c r="W201" s="79"/>
      <c r="X201" s="79"/>
      <c r="Y201" s="79"/>
      <c r="Z201" s="79"/>
      <c r="AB201" s="41">
        <f>COUNTIF(AD182:AI205,"=5")/6</f>
        <v>0</v>
      </c>
      <c r="AC201" s="40" t="s">
        <v>68</v>
      </c>
      <c r="AD201" s="79"/>
      <c r="AE201" s="79"/>
      <c r="AF201" s="79"/>
      <c r="AG201" s="79"/>
      <c r="AH201" s="79"/>
      <c r="AI201" s="79"/>
    </row>
    <row r="202">
      <c r="A202" s="48" t="s">
        <v>69</v>
      </c>
      <c r="B202" s="40" t="s">
        <v>23</v>
      </c>
      <c r="C202" s="74">
        <v>4.0</v>
      </c>
      <c r="D202" s="74">
        <v>4.0</v>
      </c>
      <c r="E202" s="74">
        <v>4.0</v>
      </c>
      <c r="F202" s="74">
        <v>4.0</v>
      </c>
      <c r="G202" s="74">
        <v>4.0</v>
      </c>
      <c r="H202" s="74">
        <v>4.0</v>
      </c>
      <c r="J202" s="48" t="s">
        <v>69</v>
      </c>
      <c r="K202" s="40" t="s">
        <v>23</v>
      </c>
      <c r="L202" s="79"/>
      <c r="M202" s="79"/>
      <c r="N202" s="79"/>
      <c r="O202" s="79"/>
      <c r="P202" s="79"/>
      <c r="Q202" s="79"/>
      <c r="S202" s="48" t="s">
        <v>69</v>
      </c>
      <c r="T202" s="40" t="s">
        <v>23</v>
      </c>
      <c r="U202" s="79"/>
      <c r="V202" s="79"/>
      <c r="W202" s="79"/>
      <c r="X202" s="79"/>
      <c r="Y202" s="79"/>
      <c r="Z202" s="79"/>
      <c r="AB202" s="48" t="s">
        <v>69</v>
      </c>
      <c r="AC202" s="40" t="s">
        <v>23</v>
      </c>
      <c r="AD202" s="79"/>
      <c r="AE202" s="79"/>
      <c r="AF202" s="79"/>
      <c r="AG202" s="79"/>
      <c r="AH202" s="79"/>
      <c r="AI202" s="79"/>
    </row>
    <row r="203">
      <c r="A203" s="93" t="s">
        <v>218</v>
      </c>
      <c r="B203" s="34" t="s">
        <v>70</v>
      </c>
      <c r="C203" s="74">
        <v>4.0</v>
      </c>
      <c r="D203" s="74">
        <v>4.0</v>
      </c>
      <c r="E203" s="74">
        <v>4.0</v>
      </c>
      <c r="F203" s="74">
        <v>4.0</v>
      </c>
      <c r="G203" s="74">
        <v>4.0</v>
      </c>
      <c r="H203" s="74">
        <v>4.0</v>
      </c>
      <c r="J203" s="93"/>
      <c r="K203" s="34" t="s">
        <v>70</v>
      </c>
      <c r="L203" s="79"/>
      <c r="M203" s="79"/>
      <c r="N203" s="79"/>
      <c r="O203" s="79"/>
      <c r="P203" s="79"/>
      <c r="Q203" s="79"/>
      <c r="S203" s="93"/>
      <c r="T203" s="34" t="s">
        <v>70</v>
      </c>
      <c r="U203" s="79"/>
      <c r="V203" s="79"/>
      <c r="W203" s="79"/>
      <c r="X203" s="79"/>
      <c r="Y203" s="79"/>
      <c r="Z203" s="79"/>
      <c r="AB203" s="93"/>
      <c r="AC203" s="34" t="s">
        <v>70</v>
      </c>
      <c r="AD203" s="79"/>
      <c r="AE203" s="79"/>
      <c r="AF203" s="79"/>
      <c r="AG203" s="79"/>
      <c r="AH203" s="79"/>
      <c r="AI203" s="79"/>
    </row>
    <row r="204">
      <c r="A204" s="93" t="s">
        <v>219</v>
      </c>
      <c r="B204" s="34" t="s">
        <v>72</v>
      </c>
      <c r="C204" s="74">
        <v>4.0</v>
      </c>
      <c r="D204" s="74">
        <v>4.0</v>
      </c>
      <c r="E204" s="74">
        <v>4.0</v>
      </c>
      <c r="F204" s="74">
        <v>4.0</v>
      </c>
      <c r="G204" s="74">
        <v>4.0</v>
      </c>
      <c r="H204" s="74">
        <v>4.0</v>
      </c>
      <c r="J204" s="97"/>
      <c r="K204" s="34" t="s">
        <v>72</v>
      </c>
      <c r="L204" s="79"/>
      <c r="M204" s="79"/>
      <c r="N204" s="79"/>
      <c r="O204" s="79"/>
      <c r="P204" s="79"/>
      <c r="Q204" s="79"/>
      <c r="S204" s="97"/>
      <c r="T204" s="34" t="s">
        <v>72</v>
      </c>
      <c r="U204" s="79"/>
      <c r="V204" s="79"/>
      <c r="W204" s="79"/>
      <c r="X204" s="79"/>
      <c r="Y204" s="79"/>
      <c r="Z204" s="79"/>
      <c r="AB204" s="97"/>
      <c r="AC204" s="34" t="s">
        <v>72</v>
      </c>
      <c r="AD204" s="79"/>
      <c r="AE204" s="79"/>
      <c r="AF204" s="79"/>
      <c r="AG204" s="79"/>
      <c r="AH204" s="79"/>
      <c r="AI204" s="79"/>
    </row>
    <row r="205">
      <c r="A205" s="98"/>
      <c r="B205" s="34" t="s">
        <v>73</v>
      </c>
      <c r="C205" s="28">
        <v>3.0</v>
      </c>
      <c r="D205" s="28">
        <v>3.0</v>
      </c>
      <c r="E205" s="28">
        <v>3.0</v>
      </c>
      <c r="F205" s="28">
        <v>3.0</v>
      </c>
      <c r="G205" s="75">
        <v>5.0</v>
      </c>
      <c r="H205" s="75">
        <v>5.0</v>
      </c>
      <c r="J205" s="98"/>
      <c r="K205" s="34" t="s">
        <v>73</v>
      </c>
      <c r="L205" s="79"/>
      <c r="M205" s="79"/>
      <c r="N205" s="79"/>
      <c r="O205" s="79"/>
      <c r="P205" s="79"/>
      <c r="Q205" s="79"/>
      <c r="S205" s="98"/>
      <c r="T205" s="34" t="s">
        <v>73</v>
      </c>
      <c r="U205" s="79"/>
      <c r="V205" s="79"/>
      <c r="W205" s="79"/>
      <c r="X205" s="79"/>
      <c r="Y205" s="79"/>
      <c r="Z205" s="79"/>
      <c r="AB205" s="98"/>
      <c r="AC205" s="34" t="s">
        <v>73</v>
      </c>
      <c r="AD205" s="79"/>
      <c r="AE205" s="79"/>
      <c r="AF205" s="79"/>
      <c r="AG205" s="79"/>
      <c r="AH205" s="79"/>
      <c r="AI205" s="79"/>
    </row>
    <row r="206">
      <c r="A206" s="99">
        <f>SUM(A185,A189,A193,A197,A201)</f>
        <v>24</v>
      </c>
      <c r="J206" s="99">
        <f>SUM(J185,J189,J193,J197,J201)</f>
        <v>0</v>
      </c>
      <c r="S206" s="99">
        <f>SUM(S185,S189,S193,S197,S201)</f>
        <v>0</v>
      </c>
      <c r="AB206" s="99">
        <f>SUM(AB185,AB189,AB193,AB197,AB201)</f>
        <v>0</v>
      </c>
      <c r="AI206" s="22"/>
    </row>
    <row r="207">
      <c r="A207" s="100"/>
      <c r="AI207" s="22"/>
    </row>
    <row r="208">
      <c r="A208" s="19"/>
      <c r="J208" s="21"/>
      <c r="S208" s="21"/>
      <c r="AI208" s="22"/>
    </row>
    <row r="209">
      <c r="A209" s="70" t="s">
        <v>134</v>
      </c>
      <c r="B209" s="72" t="s">
        <v>16</v>
      </c>
      <c r="C209" s="73"/>
      <c r="D209" s="76">
        <v>1.0</v>
      </c>
      <c r="E209" s="27">
        <v>2.0</v>
      </c>
      <c r="F209" s="28">
        <v>3.0</v>
      </c>
      <c r="G209" s="74">
        <v>4.0</v>
      </c>
      <c r="H209" s="75">
        <v>5.0</v>
      </c>
      <c r="J209" s="70" t="s">
        <v>135</v>
      </c>
      <c r="K209" s="72" t="s">
        <v>16</v>
      </c>
      <c r="L209" s="73"/>
      <c r="M209" s="76">
        <v>1.0</v>
      </c>
      <c r="N209" s="27">
        <v>2.0</v>
      </c>
      <c r="O209" s="28">
        <v>3.0</v>
      </c>
      <c r="P209" s="74">
        <v>4.0</v>
      </c>
      <c r="Q209" s="75">
        <v>5.0</v>
      </c>
      <c r="S209" s="70" t="s">
        <v>136</v>
      </c>
      <c r="T209" s="72" t="s">
        <v>16</v>
      </c>
      <c r="U209" s="73"/>
      <c r="V209" s="76">
        <v>1.0</v>
      </c>
      <c r="W209" s="27">
        <v>2.0</v>
      </c>
      <c r="X209" s="28">
        <v>3.0</v>
      </c>
      <c r="Y209" s="74">
        <v>4.0</v>
      </c>
      <c r="Z209" s="75">
        <v>5.0</v>
      </c>
      <c r="AB209" s="70" t="s">
        <v>77</v>
      </c>
      <c r="AC209" s="101" t="s">
        <v>78</v>
      </c>
      <c r="AD209" s="101" t="s">
        <v>79</v>
      </c>
      <c r="AE209" s="101" t="s">
        <v>80</v>
      </c>
      <c r="AF209" s="101" t="s">
        <v>81</v>
      </c>
      <c r="AG209" s="101" t="s">
        <v>82</v>
      </c>
      <c r="AH209" s="101" t="s">
        <v>83</v>
      </c>
      <c r="AI209" s="101" t="s">
        <v>84</v>
      </c>
    </row>
    <row r="210">
      <c r="A210" s="77" t="s">
        <v>20</v>
      </c>
      <c r="B210" s="78" t="s">
        <v>21</v>
      </c>
      <c r="C210" s="78" t="s">
        <v>22</v>
      </c>
      <c r="D210" s="78" t="s">
        <v>23</v>
      </c>
      <c r="E210" s="78" t="s">
        <v>24</v>
      </c>
      <c r="F210" s="78" t="s">
        <v>25</v>
      </c>
      <c r="G210" s="78" t="s">
        <v>26</v>
      </c>
      <c r="H210" s="78" t="s">
        <v>27</v>
      </c>
      <c r="J210" s="77" t="s">
        <v>20</v>
      </c>
      <c r="K210" s="78" t="s">
        <v>21</v>
      </c>
      <c r="L210" s="78" t="s">
        <v>22</v>
      </c>
      <c r="M210" s="78" t="s">
        <v>23</v>
      </c>
      <c r="N210" s="78" t="s">
        <v>24</v>
      </c>
      <c r="O210" s="78" t="s">
        <v>25</v>
      </c>
      <c r="P210" s="78" t="s">
        <v>26</v>
      </c>
      <c r="Q210" s="78" t="s">
        <v>27</v>
      </c>
      <c r="S210" s="77" t="s">
        <v>20</v>
      </c>
      <c r="T210" s="78" t="s">
        <v>21</v>
      </c>
      <c r="U210" s="78" t="s">
        <v>22</v>
      </c>
      <c r="V210" s="78" t="s">
        <v>23</v>
      </c>
      <c r="W210" s="78" t="s">
        <v>24</v>
      </c>
      <c r="X210" s="78" t="s">
        <v>25</v>
      </c>
      <c r="Y210" s="78" t="s">
        <v>26</v>
      </c>
      <c r="Z210" s="78" t="s">
        <v>27</v>
      </c>
      <c r="AB210" s="102" t="s">
        <v>85</v>
      </c>
      <c r="AC210" s="103">
        <f>A185</f>
        <v>4.666666667</v>
      </c>
      <c r="AD210" s="103">
        <f>J185</f>
        <v>0</v>
      </c>
      <c r="AE210" s="103">
        <f>S185</f>
        <v>0</v>
      </c>
      <c r="AF210" s="103">
        <f>AB185</f>
        <v>0</v>
      </c>
      <c r="AG210" s="103">
        <f>A214</f>
        <v>0</v>
      </c>
      <c r="AH210" s="103">
        <f>J214</f>
        <v>0</v>
      </c>
      <c r="AI210" s="103">
        <f>S214</f>
        <v>0</v>
      </c>
    </row>
    <row r="211">
      <c r="A211" s="33" t="s">
        <v>28</v>
      </c>
      <c r="B211" s="34" t="s">
        <v>21</v>
      </c>
      <c r="C211" s="79"/>
      <c r="D211" s="79"/>
      <c r="E211" s="79"/>
      <c r="F211" s="79"/>
      <c r="G211" s="79"/>
      <c r="H211" s="79"/>
      <c r="J211" s="33" t="s">
        <v>28</v>
      </c>
      <c r="K211" s="34" t="s">
        <v>21</v>
      </c>
      <c r="L211" s="79"/>
      <c r="M211" s="79"/>
      <c r="N211" s="79"/>
      <c r="O211" s="79"/>
      <c r="P211" s="79"/>
      <c r="Q211" s="79"/>
      <c r="S211" s="35" t="s">
        <v>28</v>
      </c>
      <c r="T211" s="34" t="s">
        <v>21</v>
      </c>
      <c r="U211" s="79"/>
      <c r="V211" s="79"/>
      <c r="W211" s="79"/>
      <c r="X211" s="79"/>
      <c r="Y211" s="79"/>
      <c r="Z211" s="79"/>
      <c r="AB211" s="104"/>
      <c r="AC211" s="105" t="s">
        <v>86</v>
      </c>
      <c r="AD211" s="59"/>
      <c r="AE211" s="106">
        <f>SUM(AC210:AI210)</f>
        <v>4.666666667</v>
      </c>
      <c r="AF211" s="107" t="s">
        <v>87</v>
      </c>
      <c r="AG211" s="62"/>
      <c r="AH211" s="103">
        <f>AVERAGE(AC210:AI210)</f>
        <v>0.6666666667</v>
      </c>
      <c r="AI211" s="22"/>
    </row>
    <row r="212">
      <c r="A212" s="38"/>
      <c r="B212" s="34" t="s">
        <v>30</v>
      </c>
      <c r="C212" s="79"/>
      <c r="D212" s="79"/>
      <c r="E212" s="79"/>
      <c r="F212" s="79"/>
      <c r="G212" s="79"/>
      <c r="H212" s="79"/>
      <c r="I212" s="81" t="s">
        <v>31</v>
      </c>
      <c r="J212" s="38"/>
      <c r="K212" s="34" t="s">
        <v>30</v>
      </c>
      <c r="L212" s="79"/>
      <c r="M212" s="79"/>
      <c r="N212" s="79"/>
      <c r="O212" s="79"/>
      <c r="P212" s="79"/>
      <c r="Q212" s="79"/>
      <c r="S212" s="38"/>
      <c r="T212" s="34" t="s">
        <v>30</v>
      </c>
      <c r="U212" s="79"/>
      <c r="V212" s="79"/>
      <c r="W212" s="79"/>
      <c r="X212" s="79"/>
      <c r="Y212" s="79"/>
      <c r="Z212" s="79"/>
      <c r="AB212" s="108" t="s">
        <v>88</v>
      </c>
      <c r="AC212" s="103">
        <f>A189</f>
        <v>3.666666667</v>
      </c>
      <c r="AD212" s="103">
        <f>J189</f>
        <v>0</v>
      </c>
      <c r="AE212" s="103">
        <f>S189</f>
        <v>0</v>
      </c>
      <c r="AF212" s="103">
        <f>AB189</f>
        <v>0</v>
      </c>
      <c r="AG212" s="103">
        <f>A218</f>
        <v>0</v>
      </c>
      <c r="AH212" s="103">
        <f>J218</f>
        <v>0</v>
      </c>
      <c r="AI212" s="103">
        <f>S218</f>
        <v>0</v>
      </c>
    </row>
    <row r="213">
      <c r="A213" s="39"/>
      <c r="B213" s="40" t="s">
        <v>33</v>
      </c>
      <c r="C213" s="79"/>
      <c r="D213" s="79"/>
      <c r="E213" s="79"/>
      <c r="F213" s="79"/>
      <c r="G213" s="79"/>
      <c r="H213" s="79"/>
      <c r="J213" s="39"/>
      <c r="K213" s="40" t="s">
        <v>33</v>
      </c>
      <c r="L213" s="79"/>
      <c r="M213" s="79"/>
      <c r="N213" s="79"/>
      <c r="O213" s="79"/>
      <c r="P213" s="79"/>
      <c r="Q213" s="79"/>
      <c r="S213" s="39"/>
      <c r="T213" s="40" t="s">
        <v>33</v>
      </c>
      <c r="U213" s="79"/>
      <c r="V213" s="79"/>
      <c r="W213" s="79"/>
      <c r="X213" s="79"/>
      <c r="Y213" s="79"/>
      <c r="Z213" s="79"/>
      <c r="AB213" s="109"/>
      <c r="AC213" s="105" t="s">
        <v>86</v>
      </c>
      <c r="AD213" s="59"/>
      <c r="AE213" s="106">
        <f>SUM(AC212:AI212)</f>
        <v>3.666666667</v>
      </c>
      <c r="AF213" s="107" t="s">
        <v>87</v>
      </c>
      <c r="AG213" s="62"/>
      <c r="AH213" s="103">
        <f>AVERAGE(AC212:AI212)</f>
        <v>0.5238095238</v>
      </c>
      <c r="AI213" s="22"/>
    </row>
    <row r="214">
      <c r="A214" s="41">
        <f>COUNTIF(C211:H234,"=1")/6</f>
        <v>0</v>
      </c>
      <c r="B214" s="40" t="s">
        <v>34</v>
      </c>
      <c r="C214" s="79"/>
      <c r="D214" s="79"/>
      <c r="E214" s="79"/>
      <c r="F214" s="79"/>
      <c r="G214" s="79"/>
      <c r="H214" s="79"/>
      <c r="J214" s="41">
        <f>COUNTIF(L211:Q234,"=1")/6</f>
        <v>0</v>
      </c>
      <c r="K214" s="40" t="s">
        <v>34</v>
      </c>
      <c r="L214" s="79"/>
      <c r="M214" s="79"/>
      <c r="N214" s="79"/>
      <c r="O214" s="79"/>
      <c r="P214" s="79"/>
      <c r="Q214" s="79"/>
      <c r="S214" s="41">
        <f>COUNTIF(U211:Z234,"=1")/6</f>
        <v>0</v>
      </c>
      <c r="T214" s="40" t="s">
        <v>34</v>
      </c>
      <c r="U214" s="79"/>
      <c r="V214" s="79"/>
      <c r="W214" s="79"/>
      <c r="X214" s="79"/>
      <c r="Y214" s="79"/>
      <c r="Z214" s="79"/>
      <c r="AB214" s="110" t="s">
        <v>89</v>
      </c>
      <c r="AC214" s="103">
        <f>A193</f>
        <v>2.166666667</v>
      </c>
      <c r="AD214" s="103">
        <f>J193</f>
        <v>0</v>
      </c>
      <c r="AE214" s="103" t="str">
        <f>S195</f>
        <v/>
      </c>
      <c r="AF214" s="103">
        <f>AB193</f>
        <v>0</v>
      </c>
      <c r="AG214" s="103">
        <f>A222</f>
        <v>0</v>
      </c>
      <c r="AH214" s="103">
        <f>J222</f>
        <v>0</v>
      </c>
      <c r="AI214" s="103">
        <f>S222</f>
        <v>0</v>
      </c>
    </row>
    <row r="215">
      <c r="A215" s="42" t="s">
        <v>35</v>
      </c>
      <c r="B215" s="40" t="s">
        <v>36</v>
      </c>
      <c r="C215" s="79"/>
      <c r="D215" s="79"/>
      <c r="E215" s="79"/>
      <c r="F215" s="79"/>
      <c r="G215" s="79"/>
      <c r="H215" s="79"/>
      <c r="J215" s="42" t="s">
        <v>35</v>
      </c>
      <c r="K215" s="40" t="s">
        <v>36</v>
      </c>
      <c r="L215" s="79"/>
      <c r="M215" s="79"/>
      <c r="N215" s="79"/>
      <c r="O215" s="79"/>
      <c r="P215" s="79"/>
      <c r="Q215" s="79"/>
      <c r="S215" s="42" t="s">
        <v>35</v>
      </c>
      <c r="T215" s="40" t="s">
        <v>36</v>
      </c>
      <c r="U215" s="79"/>
      <c r="V215" s="79"/>
      <c r="W215" s="79"/>
      <c r="X215" s="79"/>
      <c r="Y215" s="79"/>
      <c r="Z215" s="79"/>
      <c r="AB215" s="111"/>
      <c r="AC215" s="105" t="s">
        <v>86</v>
      </c>
      <c r="AD215" s="59"/>
      <c r="AE215" s="106">
        <f>SUM(AC214:AI214)</f>
        <v>2.166666667</v>
      </c>
      <c r="AF215" s="107" t="s">
        <v>87</v>
      </c>
      <c r="AG215" s="62"/>
      <c r="AH215" s="103">
        <f>AVERAGE(AC214:AI214)</f>
        <v>0.3611111111</v>
      </c>
      <c r="AI215" s="22"/>
    </row>
    <row r="216">
      <c r="A216" s="68"/>
      <c r="B216" s="34" t="s">
        <v>38</v>
      </c>
      <c r="C216" s="79"/>
      <c r="D216" s="79"/>
      <c r="E216" s="79"/>
      <c r="F216" s="79"/>
      <c r="G216" s="84"/>
      <c r="H216" s="79"/>
      <c r="J216" s="68"/>
      <c r="K216" s="34" t="s">
        <v>38</v>
      </c>
      <c r="L216" s="79"/>
      <c r="M216" s="79"/>
      <c r="N216" s="79"/>
      <c r="O216" s="79"/>
      <c r="P216" s="84"/>
      <c r="Q216" s="79"/>
      <c r="S216" s="68"/>
      <c r="T216" s="34" t="s">
        <v>38</v>
      </c>
      <c r="U216" s="79"/>
      <c r="V216" s="79"/>
      <c r="W216" s="79"/>
      <c r="X216" s="79"/>
      <c r="Y216" s="84"/>
      <c r="Z216" s="79"/>
      <c r="AB216" s="112" t="s">
        <v>93</v>
      </c>
      <c r="AC216" s="103">
        <f>A197</f>
        <v>13.16666667</v>
      </c>
      <c r="AD216" s="103">
        <f>J197</f>
        <v>0</v>
      </c>
      <c r="AE216" s="103">
        <f>S197</f>
        <v>0</v>
      </c>
      <c r="AF216" s="103">
        <f>AB197</f>
        <v>0</v>
      </c>
      <c r="AG216" s="103">
        <f>A226</f>
        <v>0</v>
      </c>
      <c r="AH216" s="103">
        <f>J226</f>
        <v>0</v>
      </c>
      <c r="AI216" s="103">
        <f>S226</f>
        <v>0</v>
      </c>
    </row>
    <row r="217">
      <c r="A217" s="39"/>
      <c r="B217" s="40" t="s">
        <v>42</v>
      </c>
      <c r="C217" s="79"/>
      <c r="D217" s="79"/>
      <c r="E217" s="79"/>
      <c r="F217" s="79"/>
      <c r="G217" s="79"/>
      <c r="H217" s="79"/>
      <c r="J217" s="39"/>
      <c r="K217" s="40" t="s">
        <v>42</v>
      </c>
      <c r="L217" s="79"/>
      <c r="M217" s="79"/>
      <c r="N217" s="79"/>
      <c r="O217" s="79"/>
      <c r="P217" s="79"/>
      <c r="Q217" s="79"/>
      <c r="S217" s="39"/>
      <c r="T217" s="40" t="s">
        <v>42</v>
      </c>
      <c r="U217" s="79"/>
      <c r="V217" s="79"/>
      <c r="W217" s="79"/>
      <c r="X217" s="79"/>
      <c r="Y217" s="79"/>
      <c r="Z217" s="79"/>
      <c r="AB217" s="113"/>
      <c r="AC217" s="105" t="s">
        <v>86</v>
      </c>
      <c r="AD217" s="59"/>
      <c r="AE217" s="106">
        <f>SUM(AC216:AI216)</f>
        <v>13.16666667</v>
      </c>
      <c r="AF217" s="107" t="s">
        <v>87</v>
      </c>
      <c r="AG217" s="62"/>
      <c r="AH217" s="103">
        <f>AVERAGE(AC216:AI216)</f>
        <v>1.880952381</v>
      </c>
      <c r="AI217" s="22"/>
    </row>
    <row r="218">
      <c r="A218" s="41">
        <f>COUNTIF(C211:H234,"=2")/6</f>
        <v>0</v>
      </c>
      <c r="B218" s="40" t="s">
        <v>43</v>
      </c>
      <c r="C218" s="79"/>
      <c r="D218" s="79"/>
      <c r="E218" s="79"/>
      <c r="F218" s="79"/>
      <c r="G218" s="79"/>
      <c r="H218" s="79"/>
      <c r="J218" s="41">
        <f>COUNTIF(L211:Q234,"=2")/6</f>
        <v>0</v>
      </c>
      <c r="K218" s="40" t="s">
        <v>43</v>
      </c>
      <c r="L218" s="79"/>
      <c r="M218" s="79"/>
      <c r="N218" s="79"/>
      <c r="O218" s="79"/>
      <c r="P218" s="79"/>
      <c r="Q218" s="79"/>
      <c r="S218" s="41">
        <f>COUNTIF(U211:Z234,"=2")/6</f>
        <v>0</v>
      </c>
      <c r="T218" s="40" t="s">
        <v>43</v>
      </c>
      <c r="U218" s="79"/>
      <c r="V218" s="79"/>
      <c r="W218" s="79"/>
      <c r="X218" s="79"/>
      <c r="Y218" s="79"/>
      <c r="Z218" s="79"/>
      <c r="AB218" s="114" t="s">
        <v>98</v>
      </c>
      <c r="AC218" s="103">
        <f>A201</f>
        <v>0.3333333333</v>
      </c>
      <c r="AD218" s="103">
        <f>J201</f>
        <v>0</v>
      </c>
      <c r="AE218" s="103">
        <f>S201</f>
        <v>0</v>
      </c>
      <c r="AF218" s="103">
        <f>AB201</f>
        <v>0</v>
      </c>
      <c r="AG218" s="103">
        <f>A230</f>
        <v>0</v>
      </c>
      <c r="AH218" s="103">
        <f>J230</f>
        <v>0</v>
      </c>
      <c r="AI218" s="103">
        <f>S230</f>
        <v>0</v>
      </c>
    </row>
    <row r="219">
      <c r="A219" s="44" t="s">
        <v>44</v>
      </c>
      <c r="B219" s="40" t="s">
        <v>45</v>
      </c>
      <c r="C219" s="79"/>
      <c r="D219" s="79"/>
      <c r="E219" s="79"/>
      <c r="F219" s="79"/>
      <c r="G219" s="79"/>
      <c r="H219" s="79"/>
      <c r="J219" s="44" t="s">
        <v>44</v>
      </c>
      <c r="K219" s="40" t="s">
        <v>45</v>
      </c>
      <c r="L219" s="79"/>
      <c r="M219" s="79"/>
      <c r="N219" s="79"/>
      <c r="O219" s="79"/>
      <c r="P219" s="79"/>
      <c r="Q219" s="79"/>
      <c r="S219" s="44" t="s">
        <v>44</v>
      </c>
      <c r="T219" s="40" t="s">
        <v>45</v>
      </c>
      <c r="U219" s="79"/>
      <c r="V219" s="79"/>
      <c r="W219" s="79"/>
      <c r="X219" s="79"/>
      <c r="Y219" s="79"/>
      <c r="Z219" s="79"/>
      <c r="AB219" s="115"/>
      <c r="AC219" s="105" t="s">
        <v>86</v>
      </c>
      <c r="AD219" s="59"/>
      <c r="AE219" s="106">
        <f>SUM(AC218:AI218)</f>
        <v>0.3333333333</v>
      </c>
      <c r="AF219" s="107" t="s">
        <v>87</v>
      </c>
      <c r="AG219" s="62"/>
      <c r="AH219" s="103">
        <f>AVERAGE(AC218:AI218)</f>
        <v>0.04761904762</v>
      </c>
      <c r="AI219" s="116"/>
    </row>
    <row r="220">
      <c r="A220" s="38"/>
      <c r="B220" s="34" t="s">
        <v>47</v>
      </c>
      <c r="C220" s="79"/>
      <c r="D220" s="79"/>
      <c r="E220" s="79"/>
      <c r="F220" s="79"/>
      <c r="G220" s="79"/>
      <c r="H220" s="79"/>
      <c r="J220" s="38"/>
      <c r="K220" s="34" t="s">
        <v>47</v>
      </c>
      <c r="L220" s="79"/>
      <c r="M220" s="79"/>
      <c r="N220" s="79"/>
      <c r="O220" s="79"/>
      <c r="P220" s="79"/>
      <c r="Q220" s="79"/>
      <c r="S220" s="38"/>
      <c r="T220" s="34" t="s">
        <v>47</v>
      </c>
      <c r="U220" s="79"/>
      <c r="V220" s="79"/>
      <c r="W220" s="79"/>
      <c r="X220" s="79"/>
      <c r="Y220" s="79"/>
      <c r="Z220" s="79"/>
      <c r="AI220" s="22"/>
    </row>
    <row r="221">
      <c r="A221" s="39"/>
      <c r="B221" s="40" t="s">
        <v>22</v>
      </c>
      <c r="C221" s="79"/>
      <c r="D221" s="79"/>
      <c r="E221" s="79"/>
      <c r="F221" s="79"/>
      <c r="G221" s="79"/>
      <c r="H221" s="79"/>
      <c r="J221" s="39"/>
      <c r="K221" s="40" t="s">
        <v>22</v>
      </c>
      <c r="L221" s="79"/>
      <c r="M221" s="79"/>
      <c r="N221" s="79"/>
      <c r="O221" s="79"/>
      <c r="P221" s="79"/>
      <c r="Q221" s="79"/>
      <c r="S221" s="39"/>
      <c r="T221" s="40" t="s">
        <v>22</v>
      </c>
      <c r="U221" s="79"/>
      <c r="V221" s="79"/>
      <c r="W221" s="79"/>
      <c r="X221" s="79"/>
      <c r="Y221" s="79"/>
      <c r="Z221" s="79"/>
      <c r="AI221" s="22"/>
    </row>
    <row r="222">
      <c r="A222" s="41">
        <f>COUNTIF(C211:H234,"=3")/6</f>
        <v>0</v>
      </c>
      <c r="B222" s="40" t="s">
        <v>50</v>
      </c>
      <c r="C222" s="79"/>
      <c r="D222" s="79"/>
      <c r="E222" s="79"/>
      <c r="F222" s="79"/>
      <c r="G222" s="79"/>
      <c r="H222" s="79"/>
      <c r="J222" s="41">
        <f>COUNTIF(L211:Q234,"=3")/6</f>
        <v>0</v>
      </c>
      <c r="K222" s="40" t="s">
        <v>50</v>
      </c>
      <c r="L222" s="79"/>
      <c r="M222" s="79"/>
      <c r="N222" s="79"/>
      <c r="O222" s="79"/>
      <c r="P222" s="79"/>
      <c r="Q222" s="79"/>
      <c r="S222" s="41">
        <f>COUNTIF(U211:Z234,"=3")/6</f>
        <v>0</v>
      </c>
      <c r="T222" s="40" t="s">
        <v>50</v>
      </c>
      <c r="U222" s="79"/>
      <c r="V222" s="79"/>
      <c r="W222" s="79"/>
      <c r="X222" s="79"/>
      <c r="Y222" s="79"/>
      <c r="Z222" s="79"/>
      <c r="AI222" s="22"/>
    </row>
    <row r="223">
      <c r="A223" s="87" t="s">
        <v>51</v>
      </c>
      <c r="B223" s="40" t="s">
        <v>52</v>
      </c>
      <c r="C223" s="79"/>
      <c r="D223" s="79"/>
      <c r="E223" s="79"/>
      <c r="F223" s="79"/>
      <c r="G223" s="79"/>
      <c r="H223" s="79"/>
      <c r="J223" s="87" t="s">
        <v>51</v>
      </c>
      <c r="K223" s="40" t="s">
        <v>52</v>
      </c>
      <c r="L223" s="79"/>
      <c r="M223" s="79"/>
      <c r="N223" s="79"/>
      <c r="O223" s="79"/>
      <c r="P223" s="79"/>
      <c r="Q223" s="79"/>
      <c r="S223" s="87" t="s">
        <v>51</v>
      </c>
      <c r="T223" s="40" t="s">
        <v>52</v>
      </c>
      <c r="U223" s="79"/>
      <c r="V223" s="79"/>
      <c r="W223" s="79"/>
      <c r="X223" s="79"/>
      <c r="Y223" s="79"/>
      <c r="Z223" s="79"/>
      <c r="AI223" s="22"/>
    </row>
    <row r="224">
      <c r="A224" s="89"/>
      <c r="B224" s="34" t="s">
        <v>54</v>
      </c>
      <c r="C224" s="79"/>
      <c r="D224" s="79"/>
      <c r="E224" s="79"/>
      <c r="F224" s="79"/>
      <c r="G224" s="79"/>
      <c r="H224" s="79"/>
      <c r="J224" s="89"/>
      <c r="K224" s="34" t="s">
        <v>54</v>
      </c>
      <c r="L224" s="79"/>
      <c r="M224" s="79"/>
      <c r="N224" s="79"/>
      <c r="O224" s="79"/>
      <c r="P224" s="79"/>
      <c r="Q224" s="79"/>
      <c r="S224" s="89"/>
      <c r="T224" s="34" t="s">
        <v>54</v>
      </c>
      <c r="U224" s="79"/>
      <c r="V224" s="79"/>
      <c r="W224" s="79"/>
      <c r="X224" s="79"/>
      <c r="Y224" s="79"/>
      <c r="Z224" s="79"/>
      <c r="AI224" s="22"/>
    </row>
    <row r="225">
      <c r="A225" s="93"/>
      <c r="B225" s="40" t="s">
        <v>58</v>
      </c>
      <c r="C225" s="79"/>
      <c r="D225" s="79"/>
      <c r="E225" s="79"/>
      <c r="F225" s="79"/>
      <c r="G225" s="79"/>
      <c r="H225" s="79"/>
      <c r="J225" s="93"/>
      <c r="K225" s="40" t="s">
        <v>58</v>
      </c>
      <c r="L225" s="79"/>
      <c r="M225" s="79"/>
      <c r="N225" s="79"/>
      <c r="O225" s="79"/>
      <c r="P225" s="79"/>
      <c r="Q225" s="79"/>
      <c r="S225" s="93"/>
      <c r="T225" s="40" t="s">
        <v>58</v>
      </c>
      <c r="U225" s="79"/>
      <c r="V225" s="79"/>
      <c r="W225" s="79"/>
      <c r="X225" s="79"/>
      <c r="Y225" s="79"/>
      <c r="Z225" s="79"/>
      <c r="AI225" s="22"/>
    </row>
    <row r="226">
      <c r="A226" s="41">
        <f>COUNTIF(C211:H234,"=4")/6</f>
        <v>0</v>
      </c>
      <c r="B226" s="40" t="s">
        <v>59</v>
      </c>
      <c r="C226" s="79"/>
      <c r="D226" s="79"/>
      <c r="E226" s="79"/>
      <c r="F226" s="79"/>
      <c r="G226" s="79"/>
      <c r="H226" s="79"/>
      <c r="J226" s="41">
        <f>COUNTIF(L211:Q234,"=4")/6</f>
        <v>0</v>
      </c>
      <c r="K226" s="40" t="s">
        <v>59</v>
      </c>
      <c r="L226" s="79"/>
      <c r="M226" s="79"/>
      <c r="N226" s="79"/>
      <c r="O226" s="79"/>
      <c r="P226" s="79"/>
      <c r="Q226" s="79"/>
      <c r="S226" s="41">
        <f>COUNTIF(U211:Z234,"=4")/6</f>
        <v>0</v>
      </c>
      <c r="T226" s="40" t="s">
        <v>59</v>
      </c>
      <c r="U226" s="79"/>
      <c r="V226" s="79"/>
      <c r="W226" s="79"/>
      <c r="X226" s="79"/>
      <c r="Y226" s="79"/>
      <c r="Z226" s="79"/>
      <c r="AI226" s="22"/>
    </row>
    <row r="227">
      <c r="A227" s="96" t="s">
        <v>60</v>
      </c>
      <c r="B227" s="40" t="s">
        <v>61</v>
      </c>
      <c r="C227" s="79"/>
      <c r="D227" s="79"/>
      <c r="E227" s="79"/>
      <c r="F227" s="79"/>
      <c r="G227" s="79"/>
      <c r="H227" s="79"/>
      <c r="J227" s="96" t="s">
        <v>60</v>
      </c>
      <c r="K227" s="40" t="s">
        <v>61</v>
      </c>
      <c r="L227" s="79"/>
      <c r="M227" s="79"/>
      <c r="N227" s="79"/>
      <c r="O227" s="79"/>
      <c r="P227" s="79"/>
      <c r="Q227" s="79"/>
      <c r="S227" s="96" t="s">
        <v>60</v>
      </c>
      <c r="T227" s="40" t="s">
        <v>61</v>
      </c>
      <c r="U227" s="79"/>
      <c r="V227" s="79"/>
      <c r="W227" s="79"/>
      <c r="X227" s="79"/>
      <c r="Y227" s="79"/>
      <c r="Z227" s="79"/>
      <c r="AI227" s="22"/>
    </row>
    <row r="228">
      <c r="A228" s="89"/>
      <c r="B228" s="34" t="s">
        <v>63</v>
      </c>
      <c r="C228" s="79"/>
      <c r="D228" s="79"/>
      <c r="E228" s="79"/>
      <c r="F228" s="79"/>
      <c r="G228" s="79"/>
      <c r="H228" s="79"/>
      <c r="J228" s="89"/>
      <c r="K228" s="34" t="s">
        <v>63</v>
      </c>
      <c r="L228" s="79"/>
      <c r="M228" s="79"/>
      <c r="N228" s="79"/>
      <c r="O228" s="79"/>
      <c r="P228" s="79"/>
      <c r="Q228" s="79"/>
      <c r="S228" s="89"/>
      <c r="T228" s="34" t="s">
        <v>63</v>
      </c>
      <c r="U228" s="79"/>
      <c r="V228" s="79"/>
      <c r="W228" s="79"/>
      <c r="X228" s="79"/>
      <c r="Y228" s="79"/>
      <c r="Z228" s="79"/>
      <c r="AI228" s="22"/>
    </row>
    <row r="229">
      <c r="A229" s="93"/>
      <c r="B229" s="40" t="s">
        <v>67</v>
      </c>
      <c r="C229" s="79"/>
      <c r="D229" s="79"/>
      <c r="E229" s="79"/>
      <c r="F229" s="79"/>
      <c r="G229" s="79"/>
      <c r="H229" s="79"/>
      <c r="J229" s="93"/>
      <c r="K229" s="40" t="s">
        <v>67</v>
      </c>
      <c r="L229" s="79"/>
      <c r="M229" s="79"/>
      <c r="N229" s="79"/>
      <c r="O229" s="79"/>
      <c r="P229" s="79"/>
      <c r="Q229" s="79"/>
      <c r="S229" s="93"/>
      <c r="T229" s="40" t="s">
        <v>67</v>
      </c>
      <c r="U229" s="79"/>
      <c r="V229" s="79"/>
      <c r="W229" s="79"/>
      <c r="X229" s="79"/>
      <c r="Y229" s="79"/>
      <c r="Z229" s="79"/>
      <c r="AI229" s="22"/>
    </row>
    <row r="230">
      <c r="A230" s="41">
        <f>COUNTIF(C211:H234,"=5")/6</f>
        <v>0</v>
      </c>
      <c r="B230" s="40" t="s">
        <v>68</v>
      </c>
      <c r="C230" s="79"/>
      <c r="D230" s="79"/>
      <c r="E230" s="79"/>
      <c r="F230" s="79"/>
      <c r="G230" s="79"/>
      <c r="H230" s="79"/>
      <c r="J230" s="41">
        <f>COUNTIF(L211:Q234,"=5")/6</f>
        <v>0</v>
      </c>
      <c r="K230" s="40" t="s">
        <v>68</v>
      </c>
      <c r="L230" s="79"/>
      <c r="M230" s="79"/>
      <c r="N230" s="79"/>
      <c r="O230" s="79"/>
      <c r="P230" s="79"/>
      <c r="Q230" s="79"/>
      <c r="S230" s="41">
        <f>COUNTIF(U211:Z234,"=5")/6</f>
        <v>0</v>
      </c>
      <c r="T230" s="40" t="s">
        <v>68</v>
      </c>
      <c r="U230" s="79"/>
      <c r="V230" s="79"/>
      <c r="W230" s="79"/>
      <c r="X230" s="79"/>
      <c r="Y230" s="79"/>
      <c r="Z230" s="79"/>
      <c r="AI230" s="22"/>
    </row>
    <row r="231">
      <c r="A231" s="48" t="s">
        <v>69</v>
      </c>
      <c r="B231" s="40" t="s">
        <v>23</v>
      </c>
      <c r="C231" s="79"/>
      <c r="D231" s="79"/>
      <c r="E231" s="79"/>
      <c r="F231" s="79"/>
      <c r="G231" s="79"/>
      <c r="H231" s="79"/>
      <c r="J231" s="48" t="s">
        <v>69</v>
      </c>
      <c r="K231" s="40" t="s">
        <v>23</v>
      </c>
      <c r="L231" s="79"/>
      <c r="M231" s="79"/>
      <c r="N231" s="79"/>
      <c r="O231" s="79"/>
      <c r="P231" s="79"/>
      <c r="Q231" s="79"/>
      <c r="S231" s="48" t="s">
        <v>69</v>
      </c>
      <c r="T231" s="40" t="s">
        <v>23</v>
      </c>
      <c r="U231" s="79"/>
      <c r="V231" s="79"/>
      <c r="W231" s="79"/>
      <c r="X231" s="79"/>
      <c r="Y231" s="79"/>
      <c r="Z231" s="79"/>
      <c r="AI231" s="22"/>
    </row>
    <row r="232">
      <c r="A232" s="93"/>
      <c r="B232" s="34" t="s">
        <v>70</v>
      </c>
      <c r="C232" s="79"/>
      <c r="D232" s="79"/>
      <c r="E232" s="79"/>
      <c r="F232" s="79"/>
      <c r="G232" s="79"/>
      <c r="H232" s="79"/>
      <c r="J232" s="93"/>
      <c r="K232" s="34" t="s">
        <v>70</v>
      </c>
      <c r="L232" s="79"/>
      <c r="M232" s="79"/>
      <c r="N232" s="79"/>
      <c r="O232" s="79"/>
      <c r="P232" s="79"/>
      <c r="Q232" s="79"/>
      <c r="S232" s="93"/>
      <c r="T232" s="34" t="s">
        <v>70</v>
      </c>
      <c r="U232" s="79"/>
      <c r="V232" s="79"/>
      <c r="W232" s="79"/>
      <c r="X232" s="79"/>
      <c r="Y232" s="79"/>
      <c r="Z232" s="79"/>
      <c r="AI232" s="22"/>
    </row>
    <row r="233">
      <c r="A233" s="97"/>
      <c r="B233" s="34" t="s">
        <v>72</v>
      </c>
      <c r="C233" s="79"/>
      <c r="D233" s="79"/>
      <c r="E233" s="79"/>
      <c r="F233" s="79"/>
      <c r="G233" s="79"/>
      <c r="H233" s="79"/>
      <c r="J233" s="97"/>
      <c r="K233" s="34" t="s">
        <v>72</v>
      </c>
      <c r="L233" s="79"/>
      <c r="M233" s="79"/>
      <c r="N233" s="79"/>
      <c r="O233" s="79"/>
      <c r="P233" s="79"/>
      <c r="Q233" s="79"/>
      <c r="S233" s="97"/>
      <c r="T233" s="34" t="s">
        <v>72</v>
      </c>
      <c r="U233" s="79"/>
      <c r="V233" s="79"/>
      <c r="W233" s="79"/>
      <c r="X233" s="79"/>
      <c r="Y233" s="79"/>
      <c r="Z233" s="79"/>
      <c r="AI233" s="22"/>
    </row>
    <row r="234">
      <c r="A234" s="98"/>
      <c r="B234" s="34" t="s">
        <v>73</v>
      </c>
      <c r="C234" s="79"/>
      <c r="D234" s="79"/>
      <c r="E234" s="79"/>
      <c r="F234" s="79"/>
      <c r="G234" s="79"/>
      <c r="H234" s="79"/>
      <c r="J234" s="98"/>
      <c r="K234" s="34" t="s">
        <v>73</v>
      </c>
      <c r="L234" s="79"/>
      <c r="M234" s="79"/>
      <c r="N234" s="79"/>
      <c r="O234" s="79"/>
      <c r="P234" s="79"/>
      <c r="Q234" s="79"/>
      <c r="S234" s="98"/>
      <c r="T234" s="34" t="s">
        <v>73</v>
      </c>
      <c r="U234" s="79"/>
      <c r="V234" s="79"/>
      <c r="W234" s="79"/>
      <c r="X234" s="79"/>
      <c r="Y234" s="79"/>
      <c r="Z234" s="79"/>
      <c r="AI234" s="22"/>
    </row>
    <row r="235">
      <c r="A235" s="99">
        <f>SUM(A214,A218,A222,A226,A230)</f>
        <v>0</v>
      </c>
      <c r="J235" s="99">
        <f>SUM(J214,J218,J222,J226,J230)</f>
        <v>0</v>
      </c>
      <c r="S235" s="99">
        <f>SUM(S214,S218,S222,S226,S230)</f>
        <v>0</v>
      </c>
      <c r="AI235" s="22"/>
    </row>
    <row r="236">
      <c r="A236" s="117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  <c r="AH236" s="118"/>
      <c r="AI236" s="116"/>
    </row>
    <row r="239">
      <c r="A239" s="120" t="s">
        <v>220</v>
      </c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59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</row>
    <row r="257">
      <c r="B257" s="121" t="s">
        <v>87</v>
      </c>
      <c r="C257" s="121"/>
      <c r="D257" s="122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123" t="s">
        <v>87</v>
      </c>
      <c r="U257" s="123"/>
      <c r="V257" s="124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>
      <c r="A258" s="5"/>
      <c r="D258" s="5">
        <f>AVERAGE(AC33:AI33,AC92:AI92,AC151:AI151,AC210:AI210)</f>
        <v>4.505952381</v>
      </c>
      <c r="J258" s="5"/>
      <c r="K258" s="5"/>
      <c r="L258" s="5"/>
      <c r="M258" s="5"/>
      <c r="N258" s="5"/>
      <c r="O258" s="5"/>
      <c r="P258" s="5"/>
      <c r="Q258" s="5"/>
      <c r="R258" s="5"/>
      <c r="S258" s="5"/>
      <c r="V258" s="125">
        <f>AVERAGE(AC41:AI41,AC100:AI100,AC159:AI159,AC218:AI218)</f>
        <v>3.904761905</v>
      </c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</row>
    <row r="259">
      <c r="A259" s="5"/>
      <c r="B259" s="5"/>
      <c r="C259" s="5"/>
      <c r="D259" s="5"/>
      <c r="E259" s="5"/>
      <c r="F259" s="5"/>
      <c r="G259" s="5"/>
      <c r="H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>
      <c r="A260" s="5"/>
      <c r="B260" s="126" t="s">
        <v>221</v>
      </c>
      <c r="C260" s="127"/>
      <c r="D260" s="127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128" t="s">
        <v>221</v>
      </c>
      <c r="U260" s="129"/>
      <c r="V260" s="129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</row>
    <row r="261">
      <c r="A261" s="5"/>
      <c r="D261" s="130">
        <f>MAX(AC33:AI33,AC92:AI92,AC151:AI151,AC210:AI210)-MIN(AC33:AI33,AC92:AI92,AC151:AI151,AC210:AI210)</f>
        <v>10.33333333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V261" s="130">
        <f>MAX(AC41:AI41,AC100:AI100,AC159:AI159,AC218:AI218)-MIN(AC41:AI41,AC100:AI100,AC159:AI159,AC218:AI218)</f>
        <v>11.16666667</v>
      </c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>
      <c r="A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131" t="s">
        <v>87</v>
      </c>
      <c r="U282" s="131"/>
      <c r="V282" s="132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>
      <c r="A283" s="5"/>
      <c r="B283" s="133" t="s">
        <v>87</v>
      </c>
      <c r="C283" s="133"/>
      <c r="D283" s="134"/>
      <c r="E283" s="5"/>
      <c r="F283" s="135" t="s">
        <v>87</v>
      </c>
      <c r="G283" s="135"/>
      <c r="H283" s="136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V283" s="125">
        <f>AVERAGE(AC35:AI35,AC94:AI94,AC153:AI153,AC212:AI212)</f>
        <v>1.577380952</v>
      </c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>
      <c r="A284" s="5"/>
      <c r="D284" s="5">
        <f>AVERAGE(AC37:AI37,AC96:AI96,AC155:AI155,AC214:AI214)</f>
        <v>1.020833333</v>
      </c>
      <c r="E284" s="5"/>
      <c r="H284" s="125">
        <f>AVERAGE(AC39:AI39,AC98:AI98,AC157:AI157,AC216:AI216)</f>
        <v>3.005952381</v>
      </c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137" t="s">
        <v>221</v>
      </c>
      <c r="U285" s="138"/>
      <c r="V285" s="138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>
      <c r="A286" s="5"/>
      <c r="B286" s="139" t="s">
        <v>221</v>
      </c>
      <c r="C286" s="140"/>
      <c r="D286" s="140"/>
      <c r="E286" s="5"/>
      <c r="F286" s="141" t="s">
        <v>221</v>
      </c>
      <c r="G286" s="142"/>
      <c r="H286" s="142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V286" s="130">
        <f>MAX(AC35:AI35,AC94:AI94,AC153:AI153,AC212:AI212)-MIN(AC35:AI35,AC94:AI94,AC153:AI153,AC212:AI212)</f>
        <v>5.833333333</v>
      </c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>
      <c r="A287" s="5"/>
      <c r="D287" s="130">
        <f>MAX(AC37:AI37,AC96:AI96,AC155:AI155,AC214:AI214)-MIN(AC37:AI37,AC96:AI96,AC155:AI155,AC214:AI214)</f>
        <v>5.333333333</v>
      </c>
      <c r="E287" s="5"/>
      <c r="H287" s="130">
        <f>MAX(AC39:AI39,AC98:AI98,AC157:AI157,AC216:AI216)-MIN(AC39:AI39,AC98:AI98,AC157:AI157,AC216:AI216)</f>
        <v>13.16666667</v>
      </c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</row>
    <row r="293"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15" t="s">
        <v>222</v>
      </c>
      <c r="T293" s="92"/>
      <c r="U293" s="92"/>
      <c r="V293" s="92"/>
      <c r="W293" s="92"/>
      <c r="X293" s="92"/>
      <c r="Y293" s="92"/>
      <c r="Z293" s="92"/>
      <c r="AA293" s="92"/>
      <c r="AB293" s="94"/>
      <c r="AC293" s="5"/>
      <c r="AD293" s="5"/>
      <c r="AE293" s="5"/>
      <c r="AF293" s="5"/>
      <c r="AG293" s="5"/>
      <c r="AH293" s="5"/>
      <c r="AI293" s="5"/>
      <c r="AJ293" s="5"/>
    </row>
    <row r="294"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2"/>
      <c r="T294" s="5"/>
      <c r="U294" s="5"/>
      <c r="V294" s="5"/>
      <c r="W294" s="5"/>
      <c r="X294" s="5"/>
      <c r="Y294" s="5"/>
      <c r="Z294" s="5"/>
      <c r="AA294" s="5"/>
      <c r="AB294" s="51"/>
      <c r="AC294" s="5"/>
      <c r="AD294" s="5"/>
      <c r="AE294" s="5"/>
      <c r="AF294" s="5"/>
      <c r="AG294" s="5"/>
      <c r="AH294" s="5"/>
      <c r="AI294" s="5"/>
    </row>
    <row r="295">
      <c r="S295" s="100"/>
      <c r="AB295" s="22"/>
    </row>
    <row r="296">
      <c r="S296" s="100"/>
      <c r="AB296" s="22"/>
    </row>
    <row r="297">
      <c r="S297" s="100"/>
      <c r="AB297" s="22"/>
    </row>
    <row r="298">
      <c r="S298" s="100"/>
      <c r="AB298" s="22"/>
    </row>
    <row r="299">
      <c r="S299" s="100"/>
      <c r="AB299" s="22"/>
    </row>
    <row r="300">
      <c r="S300" s="100"/>
      <c r="AB300" s="22"/>
    </row>
    <row r="301">
      <c r="S301" s="100"/>
      <c r="AB301" s="22"/>
    </row>
    <row r="302">
      <c r="S302" s="100"/>
      <c r="AB302" s="22"/>
    </row>
    <row r="303">
      <c r="S303" s="100"/>
      <c r="AB303" s="22"/>
    </row>
    <row r="304">
      <c r="S304" s="100"/>
      <c r="AB304" s="22"/>
    </row>
    <row r="305">
      <c r="S305" s="100"/>
      <c r="AB305" s="22"/>
    </row>
    <row r="306">
      <c r="S306" s="100"/>
      <c r="AB306" s="22"/>
    </row>
    <row r="307">
      <c r="S307" s="100"/>
      <c r="AB307" s="22"/>
    </row>
    <row r="308">
      <c r="S308" s="100"/>
      <c r="AB308" s="22"/>
    </row>
    <row r="309">
      <c r="S309" s="100"/>
      <c r="AB309" s="22"/>
    </row>
    <row r="310">
      <c r="S310" s="100"/>
      <c r="AB310" s="22"/>
    </row>
    <row r="311">
      <c r="S311" s="100"/>
      <c r="AB311" s="22"/>
    </row>
    <row r="312">
      <c r="S312" s="100"/>
      <c r="AB312" s="22"/>
    </row>
    <row r="313">
      <c r="S313" s="100"/>
      <c r="AB313" s="22"/>
    </row>
    <row r="314">
      <c r="S314" s="100"/>
      <c r="AB314" s="22"/>
    </row>
    <row r="315">
      <c r="S315" s="100"/>
      <c r="AB315" s="22"/>
    </row>
    <row r="316">
      <c r="S316" s="100"/>
      <c r="AB316" s="22"/>
    </row>
    <row r="317">
      <c r="S317" s="117"/>
      <c r="T317" s="118"/>
      <c r="U317" s="118"/>
      <c r="V317" s="118"/>
      <c r="W317" s="118"/>
      <c r="X317" s="118"/>
      <c r="Y317" s="118"/>
      <c r="Z317" s="118"/>
      <c r="AA317" s="118"/>
      <c r="AB317" s="116"/>
    </row>
    <row r="328">
      <c r="A328" s="143" t="s">
        <v>223</v>
      </c>
      <c r="B328" s="143" t="s">
        <v>224</v>
      </c>
      <c r="C328" s="143" t="s">
        <v>225</v>
      </c>
      <c r="D328" s="143" t="s">
        <v>226</v>
      </c>
      <c r="E328" s="143" t="s">
        <v>227</v>
      </c>
      <c r="F328" s="143" t="s">
        <v>228</v>
      </c>
      <c r="G328" s="144" t="s">
        <v>229</v>
      </c>
    </row>
    <row r="329">
      <c r="A329" s="145" t="s">
        <v>78</v>
      </c>
      <c r="B329" s="130">
        <f>A8</f>
        <v>8</v>
      </c>
      <c r="C329" s="130">
        <f>A12</f>
        <v>1.833333333</v>
      </c>
      <c r="D329" s="130">
        <f>A16</f>
        <v>2.666666667</v>
      </c>
      <c r="E329" s="130">
        <f>A20</f>
        <v>4.5</v>
      </c>
      <c r="F329" s="130">
        <f>A24</f>
        <v>7</v>
      </c>
      <c r="G329" s="51">
        <f t="shared" ref="G329:G356" si="1">SUM(B329:F329)</f>
        <v>24</v>
      </c>
    </row>
    <row r="330">
      <c r="A330" s="146" t="s">
        <v>79</v>
      </c>
      <c r="B330" s="147">
        <f>J8</f>
        <v>9.166666667</v>
      </c>
      <c r="C330" s="147">
        <f>J12</f>
        <v>1.5</v>
      </c>
      <c r="D330" s="147">
        <f>J16</f>
        <v>1.5</v>
      </c>
      <c r="E330" s="147">
        <f>J20</f>
        <v>2.666666667</v>
      </c>
      <c r="F330" s="147">
        <f>J24</f>
        <v>9.166666667</v>
      </c>
      <c r="G330" s="51">
        <f t="shared" si="1"/>
        <v>24</v>
      </c>
    </row>
    <row r="331">
      <c r="A331" s="146" t="s">
        <v>80</v>
      </c>
      <c r="B331" s="147">
        <f>S8</f>
        <v>0</v>
      </c>
      <c r="C331" s="147">
        <f>S12</f>
        <v>0</v>
      </c>
      <c r="D331" s="147">
        <f>S16</f>
        <v>0</v>
      </c>
      <c r="E331" s="147">
        <f>S20</f>
        <v>0</v>
      </c>
      <c r="F331" s="147">
        <f>S24</f>
        <v>10</v>
      </c>
      <c r="G331" s="51">
        <f t="shared" si="1"/>
        <v>10</v>
      </c>
    </row>
    <row r="332">
      <c r="A332" s="146" t="s">
        <v>81</v>
      </c>
      <c r="B332" s="147">
        <f>AB8</f>
        <v>0</v>
      </c>
      <c r="C332" s="147">
        <f>AB12</f>
        <v>0</v>
      </c>
      <c r="D332" s="147">
        <f>AB16</f>
        <v>0</v>
      </c>
      <c r="E332" s="147">
        <f>AB20</f>
        <v>0</v>
      </c>
      <c r="F332" s="147">
        <f>AB24</f>
        <v>10</v>
      </c>
      <c r="G332" s="51">
        <f t="shared" si="1"/>
        <v>10</v>
      </c>
    </row>
    <row r="333">
      <c r="A333" s="146" t="s">
        <v>82</v>
      </c>
      <c r="B333" s="147">
        <f>A37</f>
        <v>8.5</v>
      </c>
      <c r="C333" s="147">
        <f>A41</f>
        <v>1.333333333</v>
      </c>
      <c r="D333" s="147">
        <f>A45</f>
        <v>3</v>
      </c>
      <c r="E333" s="147">
        <f>A49</f>
        <v>2.5</v>
      </c>
      <c r="F333" s="147">
        <f>A53</f>
        <v>8.666666667</v>
      </c>
      <c r="G333" s="51">
        <f t="shared" si="1"/>
        <v>24</v>
      </c>
    </row>
    <row r="334">
      <c r="A334" s="146" t="s">
        <v>83</v>
      </c>
      <c r="B334" s="147">
        <f>J37</f>
        <v>10.33333333</v>
      </c>
      <c r="C334" s="147">
        <f>J41</f>
        <v>1.166666667</v>
      </c>
      <c r="D334" s="147">
        <f>J45</f>
        <v>0</v>
      </c>
      <c r="E334" s="147">
        <f>J49</f>
        <v>1.333333333</v>
      </c>
      <c r="F334" s="147">
        <f>J53</f>
        <v>11.16666667</v>
      </c>
      <c r="G334" s="51">
        <f t="shared" si="1"/>
        <v>24</v>
      </c>
    </row>
    <row r="335">
      <c r="A335" s="148" t="s">
        <v>84</v>
      </c>
      <c r="B335" s="118">
        <f>S37</f>
        <v>8.833333333</v>
      </c>
      <c r="C335" s="118">
        <f>S41</f>
        <v>2.833333333</v>
      </c>
      <c r="D335" s="118">
        <f>S45</f>
        <v>1.5</v>
      </c>
      <c r="E335" s="118">
        <f>S49</f>
        <v>1</v>
      </c>
      <c r="F335" s="118">
        <f>S53</f>
        <v>9.833333333</v>
      </c>
      <c r="G335" s="82">
        <f t="shared" si="1"/>
        <v>24</v>
      </c>
    </row>
    <row r="336">
      <c r="A336" s="146" t="s">
        <v>230</v>
      </c>
      <c r="B336" s="147">
        <f>A67</f>
        <v>1.666666667</v>
      </c>
      <c r="C336" s="147">
        <f>A71</f>
        <v>5.833333333</v>
      </c>
      <c r="D336" s="147">
        <f>A75</f>
        <v>5.333333333</v>
      </c>
      <c r="E336" s="147">
        <f>A79</f>
        <v>9</v>
      </c>
      <c r="F336" s="147">
        <f>A83</f>
        <v>2.166666667</v>
      </c>
      <c r="G336" s="51">
        <f t="shared" si="1"/>
        <v>24</v>
      </c>
    </row>
    <row r="337">
      <c r="A337" s="146" t="s">
        <v>231</v>
      </c>
      <c r="B337" s="147">
        <f>J67</f>
        <v>5.166666667</v>
      </c>
      <c r="C337" s="147">
        <f>J71</f>
        <v>4</v>
      </c>
      <c r="D337" s="147">
        <f>J75</f>
        <v>1</v>
      </c>
      <c r="E337" s="147">
        <f>J79</f>
        <v>11.33333333</v>
      </c>
      <c r="F337" s="147">
        <f>J83</f>
        <v>2.5</v>
      </c>
      <c r="G337" s="51">
        <f t="shared" si="1"/>
        <v>24</v>
      </c>
    </row>
    <row r="338">
      <c r="A338" s="146" t="s">
        <v>232</v>
      </c>
      <c r="B338" s="147">
        <f>S67</f>
        <v>9.5</v>
      </c>
      <c r="C338" s="147">
        <f>S71</f>
        <v>2.833333333</v>
      </c>
      <c r="D338" s="147">
        <f>S75</f>
        <v>1.666666667</v>
      </c>
      <c r="E338" s="147">
        <f>S79</f>
        <v>4.833333333</v>
      </c>
      <c r="F338" s="147">
        <f>S83</f>
        <v>5.166666667</v>
      </c>
      <c r="G338" s="51">
        <f t="shared" si="1"/>
        <v>24</v>
      </c>
    </row>
    <row r="339">
      <c r="A339" s="146" t="s">
        <v>233</v>
      </c>
      <c r="B339" s="147">
        <f>AB67</f>
        <v>7.166666667</v>
      </c>
      <c r="C339" s="147">
        <f>AB71</f>
        <v>3.666666667</v>
      </c>
      <c r="D339" s="147">
        <f>AB75</f>
        <v>0</v>
      </c>
      <c r="E339" s="147">
        <f>AB79</f>
        <v>6.666666667</v>
      </c>
      <c r="F339" s="147">
        <f>AB83</f>
        <v>6.5</v>
      </c>
      <c r="G339" s="51">
        <f t="shared" si="1"/>
        <v>24</v>
      </c>
    </row>
    <row r="340">
      <c r="A340" s="146" t="s">
        <v>234</v>
      </c>
      <c r="B340" s="147">
        <f>A96</f>
        <v>9.333333333</v>
      </c>
      <c r="C340" s="147">
        <f>A100</f>
        <v>1</v>
      </c>
      <c r="D340" s="147">
        <f>A104</f>
        <v>2.166666667</v>
      </c>
      <c r="E340" s="147">
        <f>A108</f>
        <v>6.5</v>
      </c>
      <c r="F340" s="147">
        <f>A112</f>
        <v>5</v>
      </c>
      <c r="G340" s="51">
        <f t="shared" si="1"/>
        <v>24</v>
      </c>
    </row>
    <row r="341">
      <c r="A341" s="146" t="s">
        <v>235</v>
      </c>
      <c r="B341" s="147">
        <f>J96</f>
        <v>10.33333333</v>
      </c>
      <c r="C341" s="147">
        <f>J100</f>
        <v>2.5</v>
      </c>
      <c r="D341" s="147">
        <f>J104</f>
        <v>1</v>
      </c>
      <c r="E341" s="147">
        <f>J108</f>
        <v>5.333333333</v>
      </c>
      <c r="F341" s="147">
        <f>J112</f>
        <v>4.833333333</v>
      </c>
      <c r="G341" s="51">
        <f t="shared" si="1"/>
        <v>24</v>
      </c>
    </row>
    <row r="342">
      <c r="A342" s="148" t="s">
        <v>236</v>
      </c>
      <c r="B342" s="118">
        <f>S96</f>
        <v>9.833333333</v>
      </c>
      <c r="C342" s="118">
        <f>S100</f>
        <v>2.833333333</v>
      </c>
      <c r="D342" s="118">
        <f>S104</f>
        <v>1.833333333</v>
      </c>
      <c r="E342" s="118">
        <f>S108</f>
        <v>2</v>
      </c>
      <c r="F342" s="118">
        <f>S112</f>
        <v>7.5</v>
      </c>
      <c r="G342" s="82">
        <f t="shared" si="1"/>
        <v>24</v>
      </c>
    </row>
    <row r="343">
      <c r="A343" s="146" t="s">
        <v>237</v>
      </c>
      <c r="B343" s="147">
        <f>A126</f>
        <v>0</v>
      </c>
      <c r="C343" s="147">
        <f>A130</f>
        <v>0</v>
      </c>
      <c r="D343" s="147">
        <f>A134</f>
        <v>0</v>
      </c>
      <c r="E343" s="147">
        <f>A138</f>
        <v>0</v>
      </c>
      <c r="F343" s="147">
        <f>A142</f>
        <v>0</v>
      </c>
      <c r="G343" s="51">
        <f t="shared" si="1"/>
        <v>0</v>
      </c>
    </row>
    <row r="344">
      <c r="A344" s="146" t="s">
        <v>238</v>
      </c>
      <c r="B344" s="147">
        <f>J126</f>
        <v>9.833333333</v>
      </c>
      <c r="C344" s="147">
        <f>J130</f>
        <v>3.333333333</v>
      </c>
      <c r="D344" s="147">
        <f>J134</f>
        <v>1.833333333</v>
      </c>
      <c r="E344" s="147">
        <f>J138</f>
        <v>2</v>
      </c>
      <c r="F344" s="147">
        <f>J142</f>
        <v>7</v>
      </c>
      <c r="G344" s="51">
        <f t="shared" si="1"/>
        <v>24</v>
      </c>
    </row>
    <row r="345">
      <c r="A345" s="146" t="s">
        <v>239</v>
      </c>
      <c r="B345" s="147">
        <f>S126</f>
        <v>7.833333333</v>
      </c>
      <c r="C345" s="147">
        <f>S130</f>
        <v>2.166666667</v>
      </c>
      <c r="D345" s="147">
        <f>S134</f>
        <v>5</v>
      </c>
      <c r="E345" s="147">
        <f>S138</f>
        <v>0</v>
      </c>
      <c r="F345" s="147">
        <f>S142</f>
        <v>0</v>
      </c>
      <c r="G345" s="51">
        <f t="shared" si="1"/>
        <v>15</v>
      </c>
    </row>
    <row r="346">
      <c r="A346" s="146" t="s">
        <v>240</v>
      </c>
      <c r="B346" s="147">
        <f>AB126</f>
        <v>0</v>
      </c>
      <c r="C346" s="147">
        <f>AB130</f>
        <v>0</v>
      </c>
      <c r="D346" s="147">
        <f>AB134</f>
        <v>0</v>
      </c>
      <c r="E346" s="147">
        <f>AB138</f>
        <v>0</v>
      </c>
      <c r="F346" s="147">
        <f>AB142</f>
        <v>0</v>
      </c>
      <c r="G346" s="51">
        <f t="shared" si="1"/>
        <v>0</v>
      </c>
    </row>
    <row r="347">
      <c r="A347" s="146" t="s">
        <v>241</v>
      </c>
      <c r="B347" s="147">
        <f>A155</f>
        <v>0</v>
      </c>
      <c r="C347" s="147">
        <f>A159</f>
        <v>0</v>
      </c>
      <c r="D347" s="147">
        <f>A163</f>
        <v>0</v>
      </c>
      <c r="E347" s="147">
        <f>A167</f>
        <v>0</v>
      </c>
      <c r="F347" s="147">
        <f>A171</f>
        <v>0</v>
      </c>
      <c r="G347" s="51">
        <f t="shared" si="1"/>
        <v>0</v>
      </c>
    </row>
    <row r="348">
      <c r="A348" s="146" t="s">
        <v>242</v>
      </c>
      <c r="B348" s="147">
        <f>J155</f>
        <v>0</v>
      </c>
      <c r="C348" s="147">
        <f>J159</f>
        <v>0</v>
      </c>
      <c r="D348" s="147">
        <f>J163</f>
        <v>0</v>
      </c>
      <c r="E348" s="147">
        <f>J167</f>
        <v>0</v>
      </c>
      <c r="F348" s="147">
        <f>J171</f>
        <v>0</v>
      </c>
      <c r="G348" s="51">
        <f t="shared" si="1"/>
        <v>0</v>
      </c>
    </row>
    <row r="349">
      <c r="A349" s="148" t="s">
        <v>243</v>
      </c>
      <c r="B349" s="118">
        <f>S155</f>
        <v>6</v>
      </c>
      <c r="C349" s="118">
        <f>S159</f>
        <v>3.666666667</v>
      </c>
      <c r="D349" s="118">
        <f>S163</f>
        <v>0.5</v>
      </c>
      <c r="E349" s="118">
        <f>S167</f>
        <v>11.33333333</v>
      </c>
      <c r="F349" s="118">
        <f>S171</f>
        <v>2.5</v>
      </c>
      <c r="G349" s="82">
        <f t="shared" si="1"/>
        <v>24</v>
      </c>
    </row>
    <row r="350">
      <c r="A350" s="146" t="s">
        <v>244</v>
      </c>
      <c r="B350" s="147">
        <f>A185</f>
        <v>4.666666667</v>
      </c>
      <c r="C350" s="147">
        <f>A189</f>
        <v>3.666666667</v>
      </c>
      <c r="D350" s="147">
        <f>A193</f>
        <v>2.166666667</v>
      </c>
      <c r="E350" s="147">
        <f>A197</f>
        <v>13.16666667</v>
      </c>
      <c r="F350" s="147">
        <f>A201</f>
        <v>0.3333333333</v>
      </c>
      <c r="G350" s="51">
        <f t="shared" si="1"/>
        <v>24</v>
      </c>
    </row>
    <row r="351">
      <c r="A351" s="146" t="s">
        <v>245</v>
      </c>
      <c r="B351" s="147">
        <f>J185</f>
        <v>0</v>
      </c>
      <c r="C351" s="147">
        <f>J189</f>
        <v>0</v>
      </c>
      <c r="D351" s="147">
        <f>J193</f>
        <v>0</v>
      </c>
      <c r="E351" s="147">
        <f>J197</f>
        <v>0</v>
      </c>
      <c r="F351" s="147">
        <f>J201</f>
        <v>0</v>
      </c>
      <c r="G351" s="51">
        <f t="shared" si="1"/>
        <v>0</v>
      </c>
    </row>
    <row r="352">
      <c r="A352" s="146" t="s">
        <v>246</v>
      </c>
      <c r="B352" s="147">
        <f>S185</f>
        <v>0</v>
      </c>
      <c r="C352" s="147">
        <f>S189</f>
        <v>0</v>
      </c>
      <c r="D352" s="147">
        <f>S193</f>
        <v>0</v>
      </c>
      <c r="E352" s="147">
        <f>S197</f>
        <v>0</v>
      </c>
      <c r="F352" s="147">
        <f>S201</f>
        <v>0</v>
      </c>
      <c r="G352" s="51">
        <f t="shared" si="1"/>
        <v>0</v>
      </c>
    </row>
    <row r="353">
      <c r="A353" s="146" t="s">
        <v>247</v>
      </c>
      <c r="B353" s="147">
        <f>AB185</f>
        <v>0</v>
      </c>
      <c r="C353" s="147">
        <f>AB189</f>
        <v>0</v>
      </c>
      <c r="D353" s="147">
        <f>AB193</f>
        <v>0</v>
      </c>
      <c r="E353" s="147">
        <f>AB197</f>
        <v>0</v>
      </c>
      <c r="F353" s="147">
        <f>AB201</f>
        <v>0</v>
      </c>
      <c r="G353" s="51">
        <f t="shared" si="1"/>
        <v>0</v>
      </c>
    </row>
    <row r="354">
      <c r="A354" s="146" t="s">
        <v>248</v>
      </c>
      <c r="B354" s="147">
        <f>A214</f>
        <v>0</v>
      </c>
      <c r="C354" s="147">
        <f>A218</f>
        <v>0</v>
      </c>
      <c r="D354" s="147">
        <f>A222</f>
        <v>0</v>
      </c>
      <c r="E354" s="147">
        <f>A226</f>
        <v>0</v>
      </c>
      <c r="F354" s="147">
        <f>A230</f>
        <v>0</v>
      </c>
      <c r="G354" s="51">
        <f t="shared" si="1"/>
        <v>0</v>
      </c>
    </row>
    <row r="355">
      <c r="A355" s="146" t="s">
        <v>249</v>
      </c>
      <c r="B355" s="147">
        <f>J214</f>
        <v>0</v>
      </c>
      <c r="C355" s="147">
        <f>J218</f>
        <v>0</v>
      </c>
      <c r="D355" s="147">
        <f>J222</f>
        <v>0</v>
      </c>
      <c r="E355" s="147">
        <f>J226</f>
        <v>0</v>
      </c>
      <c r="F355" s="147">
        <f>J230</f>
        <v>0</v>
      </c>
      <c r="G355" s="51">
        <f t="shared" si="1"/>
        <v>0</v>
      </c>
    </row>
    <row r="356">
      <c r="A356" s="148" t="s">
        <v>250</v>
      </c>
      <c r="B356" s="118">
        <f>S214</f>
        <v>0</v>
      </c>
      <c r="C356" s="118">
        <f>S218</f>
        <v>0</v>
      </c>
      <c r="D356" s="118">
        <f>S222</f>
        <v>0</v>
      </c>
      <c r="E356" s="118">
        <f>S226</f>
        <v>0</v>
      </c>
      <c r="F356" s="118">
        <f>S230</f>
        <v>0</v>
      </c>
      <c r="G356" s="82">
        <f t="shared" si="1"/>
        <v>0</v>
      </c>
    </row>
    <row r="357">
      <c r="A357" s="81" t="s">
        <v>251</v>
      </c>
      <c r="B357" s="147">
        <f t="shared" ref="B357:F357" si="2">SUM(B329:B356)</f>
        <v>126.1666667</v>
      </c>
      <c r="C357" s="147">
        <f t="shared" si="2"/>
        <v>44.16666667</v>
      </c>
      <c r="D357" s="147">
        <f t="shared" si="2"/>
        <v>31.16666667</v>
      </c>
      <c r="E357" s="147">
        <f t="shared" si="2"/>
        <v>84.16666667</v>
      </c>
      <c r="F357" s="147">
        <f t="shared" si="2"/>
        <v>109.3333333</v>
      </c>
    </row>
  </sheetData>
  <mergeCells count="42">
    <mergeCell ref="AC34:AD34"/>
    <mergeCell ref="AF34:AG34"/>
    <mergeCell ref="AC36:AD36"/>
    <mergeCell ref="AF36:AG36"/>
    <mergeCell ref="AC38:AD38"/>
    <mergeCell ref="AF38:AG38"/>
    <mergeCell ref="AF40:AG40"/>
    <mergeCell ref="AC40:AD40"/>
    <mergeCell ref="AC42:AD42"/>
    <mergeCell ref="AF42:AG42"/>
    <mergeCell ref="AC93:AD93"/>
    <mergeCell ref="AF93:AG93"/>
    <mergeCell ref="AC95:AD95"/>
    <mergeCell ref="AF95:AG95"/>
    <mergeCell ref="AC97:AD97"/>
    <mergeCell ref="AF97:AG97"/>
    <mergeCell ref="AC99:AD99"/>
    <mergeCell ref="AF99:AG99"/>
    <mergeCell ref="AC101:AD101"/>
    <mergeCell ref="AF101:AG101"/>
    <mergeCell ref="AF152:AG152"/>
    <mergeCell ref="AC160:AD160"/>
    <mergeCell ref="AF160:AG160"/>
    <mergeCell ref="A178:AI178"/>
    <mergeCell ref="AC152:AD152"/>
    <mergeCell ref="AC154:AD154"/>
    <mergeCell ref="AF154:AG154"/>
    <mergeCell ref="AC156:AD156"/>
    <mergeCell ref="AF156:AG156"/>
    <mergeCell ref="AC158:AD158"/>
    <mergeCell ref="AF158:AG158"/>
    <mergeCell ref="AC217:AD217"/>
    <mergeCell ref="AC219:AD219"/>
    <mergeCell ref="AF219:AG219"/>
    <mergeCell ref="A239:AI239"/>
    <mergeCell ref="AC211:AD211"/>
    <mergeCell ref="AF211:AG211"/>
    <mergeCell ref="AC213:AD213"/>
    <mergeCell ref="AF213:AG213"/>
    <mergeCell ref="AC215:AD215"/>
    <mergeCell ref="AF215:AG215"/>
    <mergeCell ref="AF217:AG217"/>
  </mergeCells>
  <conditionalFormatting sqref="U5:Z18 AD6:AI19 L73:Q81 AD83:AE87 C123:H146 AD123:AI146 U138:Z146 C152:H175 L152:Q175 L182:Q205 U182:Z205 AD182:AI205 C211:H234 L211:Q234 U211:Z234">
    <cfRule type="containsBlanks" dxfId="0" priority="1">
      <formula>LEN(TRIM(U5))=0</formula>
    </cfRule>
  </conditionalFormatting>
  <conditionalFormatting sqref="U5:Z18 AD6:AI19 L73:Q81 AD83:AE87 C123:H146 AD123:AI146 U138:Z146 C152:H175 L152:Q175 L182:Q205 U182:Z205 AD182:AI205 C211:H234 L211:Q234 U211:Z234">
    <cfRule type="cellIs" dxfId="1" priority="2" operator="equal">
      <formula>1</formula>
    </cfRule>
  </conditionalFormatting>
  <conditionalFormatting sqref="U5:Z18 AD6:AI19 L73:Q81 AD83:AE87 C123:H146 AD123:AI146 U138:Z146 C152:H175 L152:Q175 L182:Q205 U182:Z205 AD182:AI205 C211:H234 L211:Q234 U211:Z234">
    <cfRule type="cellIs" dxfId="2" priority="3" operator="equal">
      <formula>2</formula>
    </cfRule>
  </conditionalFormatting>
  <conditionalFormatting sqref="U5:Z18 AD6:AI19 L73:Q81 AD83:AE87 C123:H146 AD123:AI146 U138:Z146 C152:H175 L152:Q175 L182:Q205 U182:Z205 AD182:AI205 C211:H234 L211:Q234 U211:Z234">
    <cfRule type="cellIs" dxfId="3" priority="4" operator="equal">
      <formula>3</formula>
    </cfRule>
  </conditionalFormatting>
  <conditionalFormatting sqref="U5:Z18 AD6:AI19 L73:Q81 AD83:AE87 C123:H146 AD123:AI146 U138:Z146 C152:H175 L152:Q175 L182:Q205 U182:Z205 AD182:AI205 C211:H234 L211:Q234 U211:Z234">
    <cfRule type="cellIs" dxfId="4" priority="5" operator="equal">
      <formula>4</formula>
    </cfRule>
  </conditionalFormatting>
  <conditionalFormatting sqref="U5:Z18 AD6:AI19 L73:Q81 AD83:AE87 C123:H146 AD123:AI146 U138:Z146 C152:H175 L152:Q175 L182:Q205 U182:Z205 AD182:AI205 C211:H234 L211:Q234 U211:Z234">
    <cfRule type="cellIs" dxfId="5" priority="6" operator="notBetween">
      <formula>1</formula>
      <formula>5</formula>
    </cfRule>
  </conditionalFormatting>
  <conditionalFormatting sqref="X5 F123 AG123 F152 O152 O182 X182 AG182 F211 O211 X211">
    <cfRule type="cellIs" dxfId="6" priority="7" operator="notBetween">
      <formula>1</formula>
      <formula>5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8" width="3.88"/>
    <col customWidth="1" min="9" max="9" width="6.38"/>
    <col customWidth="1" min="10" max="10" width="37.63"/>
    <col customWidth="1" min="11" max="17" width="3.88"/>
    <col customWidth="1" min="18" max="18" width="6.38"/>
    <col customWidth="1" min="19" max="19" width="37.63"/>
    <col customWidth="1" min="20" max="26" width="3.88"/>
    <col customWidth="1" min="27" max="27" width="6.38"/>
    <col customWidth="1" min="28" max="28" width="37.63"/>
    <col customWidth="1" min="29" max="35" width="3.88"/>
    <col customWidth="1" min="36" max="36" width="6.38"/>
  </cols>
  <sheetData>
    <row r="1">
      <c r="A1" s="15" t="s">
        <v>90</v>
      </c>
      <c r="B1" s="16"/>
      <c r="C1" s="16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8"/>
    </row>
    <row r="2">
      <c r="A2" s="19"/>
      <c r="J2" s="20"/>
      <c r="S2" s="21"/>
      <c r="AB2" s="21"/>
      <c r="AI2" s="22"/>
    </row>
    <row r="3">
      <c r="A3" s="23" t="s">
        <v>99</v>
      </c>
      <c r="B3" s="24" t="s">
        <v>16</v>
      </c>
      <c r="C3" s="25"/>
      <c r="D3" s="26">
        <v>1.0</v>
      </c>
      <c r="E3" s="27">
        <v>2.0</v>
      </c>
      <c r="F3" s="28">
        <v>3.0</v>
      </c>
      <c r="G3" s="29">
        <v>4.0</v>
      </c>
      <c r="H3" s="30">
        <v>5.0</v>
      </c>
      <c r="I3" s="5"/>
      <c r="J3" s="23" t="s">
        <v>102</v>
      </c>
      <c r="K3" s="24" t="s">
        <v>16</v>
      </c>
      <c r="L3" s="25"/>
      <c r="M3" s="26">
        <v>1.0</v>
      </c>
      <c r="N3" s="27">
        <v>2.0</v>
      </c>
      <c r="O3" s="28">
        <v>3.0</v>
      </c>
      <c r="P3" s="29">
        <v>4.0</v>
      </c>
      <c r="Q3" s="30">
        <v>5.0</v>
      </c>
      <c r="R3" s="5"/>
      <c r="S3" s="23" t="s">
        <v>103</v>
      </c>
      <c r="T3" s="24" t="s">
        <v>16</v>
      </c>
      <c r="U3" s="25"/>
      <c r="V3" s="26">
        <v>1.0</v>
      </c>
      <c r="W3" s="27">
        <v>2.0</v>
      </c>
      <c r="X3" s="28">
        <v>3.0</v>
      </c>
      <c r="Y3" s="29">
        <v>4.0</v>
      </c>
      <c r="Z3" s="30">
        <v>5.0</v>
      </c>
      <c r="AA3" s="5"/>
      <c r="AB3" s="54" t="s">
        <v>104</v>
      </c>
      <c r="AC3" s="24" t="s">
        <v>16</v>
      </c>
      <c r="AD3" s="25"/>
      <c r="AE3" s="26">
        <v>1.0</v>
      </c>
      <c r="AF3" s="27">
        <v>2.0</v>
      </c>
      <c r="AG3" s="28">
        <v>3.0</v>
      </c>
      <c r="AH3" s="29">
        <v>4.0</v>
      </c>
      <c r="AI3" s="30">
        <v>5.0</v>
      </c>
    </row>
    <row r="4">
      <c r="A4" s="31" t="s">
        <v>20</v>
      </c>
      <c r="B4" s="32" t="s">
        <v>21</v>
      </c>
      <c r="C4" s="32" t="s">
        <v>22</v>
      </c>
      <c r="D4" s="32" t="s">
        <v>23</v>
      </c>
      <c r="E4" s="32" t="s">
        <v>24</v>
      </c>
      <c r="F4" s="32" t="s">
        <v>25</v>
      </c>
      <c r="G4" s="32" t="s">
        <v>26</v>
      </c>
      <c r="H4" s="32" t="s">
        <v>27</v>
      </c>
      <c r="I4" s="5"/>
      <c r="J4" s="31" t="s">
        <v>20</v>
      </c>
      <c r="K4" s="32" t="s">
        <v>21</v>
      </c>
      <c r="L4" s="32" t="s">
        <v>22</v>
      </c>
      <c r="M4" s="32" t="s">
        <v>23</v>
      </c>
      <c r="N4" s="32" t="s">
        <v>24</v>
      </c>
      <c r="O4" s="32" t="s">
        <v>25</v>
      </c>
      <c r="P4" s="32" t="s">
        <v>26</v>
      </c>
      <c r="Q4" s="32" t="s">
        <v>27</v>
      </c>
      <c r="R4" s="5"/>
      <c r="S4" s="31" t="s">
        <v>20</v>
      </c>
      <c r="T4" s="32" t="s">
        <v>21</v>
      </c>
      <c r="U4" s="32" t="s">
        <v>22</v>
      </c>
      <c r="V4" s="32" t="s">
        <v>23</v>
      </c>
      <c r="W4" s="32" t="s">
        <v>24</v>
      </c>
      <c r="X4" s="32" t="s">
        <v>25</v>
      </c>
      <c r="Y4" s="32" t="s">
        <v>26</v>
      </c>
      <c r="Z4" s="32" t="s">
        <v>27</v>
      </c>
      <c r="AA4" s="5"/>
      <c r="AB4" s="31" t="s">
        <v>20</v>
      </c>
      <c r="AC4" s="32" t="s">
        <v>21</v>
      </c>
      <c r="AD4" s="32" t="s">
        <v>22</v>
      </c>
      <c r="AE4" s="32" t="s">
        <v>23</v>
      </c>
      <c r="AF4" s="32" t="s">
        <v>24</v>
      </c>
      <c r="AG4" s="32" t="s">
        <v>25</v>
      </c>
      <c r="AH4" s="32" t="s">
        <v>26</v>
      </c>
      <c r="AI4" s="32" t="s">
        <v>27</v>
      </c>
    </row>
    <row r="5">
      <c r="A5" s="33" t="s">
        <v>28</v>
      </c>
      <c r="B5" s="34" t="s">
        <v>21</v>
      </c>
      <c r="C5" s="83"/>
      <c r="D5" s="83"/>
      <c r="E5" s="83"/>
      <c r="F5" s="83"/>
      <c r="G5" s="83"/>
      <c r="H5" s="83"/>
      <c r="I5" s="5"/>
      <c r="J5" s="33" t="s">
        <v>28</v>
      </c>
      <c r="K5" s="34" t="s">
        <v>21</v>
      </c>
      <c r="L5" s="83"/>
      <c r="M5" s="83"/>
      <c r="N5" s="83"/>
      <c r="O5" s="83"/>
      <c r="P5" s="83"/>
      <c r="Q5" s="83"/>
      <c r="R5" s="5"/>
      <c r="S5" s="35" t="s">
        <v>28</v>
      </c>
      <c r="T5" s="34" t="s">
        <v>21</v>
      </c>
      <c r="U5" s="83"/>
      <c r="V5" s="83"/>
      <c r="W5" s="83"/>
      <c r="X5" s="83"/>
      <c r="Y5" s="83"/>
      <c r="Z5" s="83"/>
      <c r="AA5" s="5"/>
      <c r="AB5" s="35" t="s">
        <v>28</v>
      </c>
      <c r="AC5" s="34" t="s">
        <v>21</v>
      </c>
      <c r="AD5" s="83"/>
      <c r="AE5" s="83"/>
      <c r="AF5" s="83"/>
      <c r="AG5" s="83"/>
      <c r="AH5" s="83"/>
      <c r="AI5" s="83"/>
    </row>
    <row r="6">
      <c r="A6" s="36"/>
      <c r="B6" s="34" t="s">
        <v>30</v>
      </c>
      <c r="C6" s="83"/>
      <c r="D6" s="83"/>
      <c r="E6" s="83"/>
      <c r="F6" s="83"/>
      <c r="G6" s="83"/>
      <c r="H6" s="83"/>
      <c r="I6" s="37" t="s">
        <v>31</v>
      </c>
      <c r="J6" s="36"/>
      <c r="K6" s="34" t="s">
        <v>30</v>
      </c>
      <c r="L6" s="83"/>
      <c r="M6" s="83"/>
      <c r="N6" s="83"/>
      <c r="O6" s="83"/>
      <c r="P6" s="83"/>
      <c r="Q6" s="83"/>
      <c r="R6" s="5"/>
      <c r="S6" s="38"/>
      <c r="T6" s="34" t="s">
        <v>30</v>
      </c>
      <c r="U6" s="83"/>
      <c r="V6" s="83"/>
      <c r="W6" s="83"/>
      <c r="X6" s="83"/>
      <c r="Y6" s="83"/>
      <c r="Z6" s="83"/>
      <c r="AA6" s="5"/>
      <c r="AB6" s="38"/>
      <c r="AC6" s="34" t="s">
        <v>30</v>
      </c>
      <c r="AD6" s="83"/>
      <c r="AE6" s="83"/>
      <c r="AF6" s="83"/>
      <c r="AG6" s="83"/>
      <c r="AH6" s="83"/>
      <c r="AI6" s="83"/>
    </row>
    <row r="7">
      <c r="A7" s="39"/>
      <c r="B7" s="40" t="s">
        <v>33</v>
      </c>
      <c r="C7" s="83"/>
      <c r="D7" s="83"/>
      <c r="E7" s="83"/>
      <c r="F7" s="83"/>
      <c r="G7" s="83"/>
      <c r="H7" s="83"/>
      <c r="I7" s="5"/>
      <c r="J7" s="39"/>
      <c r="K7" s="40" t="s">
        <v>33</v>
      </c>
      <c r="L7" s="83"/>
      <c r="M7" s="83"/>
      <c r="N7" s="83"/>
      <c r="O7" s="83"/>
      <c r="P7" s="83"/>
      <c r="Q7" s="83"/>
      <c r="R7" s="5"/>
      <c r="S7" s="39"/>
      <c r="T7" s="40" t="s">
        <v>33</v>
      </c>
      <c r="U7" s="83"/>
      <c r="V7" s="83"/>
      <c r="W7" s="83"/>
      <c r="X7" s="83"/>
      <c r="Y7" s="83"/>
      <c r="Z7" s="83"/>
      <c r="AA7" s="5"/>
      <c r="AB7" s="39"/>
      <c r="AC7" s="40" t="s">
        <v>33</v>
      </c>
      <c r="AD7" s="83"/>
      <c r="AE7" s="83"/>
      <c r="AF7" s="83"/>
      <c r="AG7" s="83"/>
      <c r="AH7" s="83"/>
      <c r="AI7" s="83"/>
    </row>
    <row r="8">
      <c r="A8" s="41">
        <f>COUNTIF(C5:H28,"=1")/6</f>
        <v>0</v>
      </c>
      <c r="B8" s="40" t="s">
        <v>34</v>
      </c>
      <c r="C8" s="83"/>
      <c r="D8" s="83"/>
      <c r="E8" s="83"/>
      <c r="F8" s="83"/>
      <c r="G8" s="83"/>
      <c r="H8" s="83"/>
      <c r="I8" s="5"/>
      <c r="J8" s="41">
        <f>COUNTIF(L5:Q28,"=1")/6</f>
        <v>0</v>
      </c>
      <c r="K8" s="40" t="s">
        <v>34</v>
      </c>
      <c r="L8" s="83"/>
      <c r="M8" s="83"/>
      <c r="N8" s="83"/>
      <c r="O8" s="83"/>
      <c r="P8" s="83"/>
      <c r="Q8" s="83"/>
      <c r="R8" s="5"/>
      <c r="S8" s="41">
        <f>COUNTIF(U5:Z28,"=1")/6</f>
        <v>0</v>
      </c>
      <c r="T8" s="40" t="s">
        <v>34</v>
      </c>
      <c r="U8" s="83"/>
      <c r="V8" s="83"/>
      <c r="W8" s="83"/>
      <c r="X8" s="83"/>
      <c r="Y8" s="83"/>
      <c r="Z8" s="83"/>
      <c r="AA8" s="5"/>
      <c r="AB8" s="41">
        <f>COUNTIF(AD5:AI28,"=1")/6</f>
        <v>0</v>
      </c>
      <c r="AC8" s="40" t="s">
        <v>34</v>
      </c>
      <c r="AD8" s="83"/>
      <c r="AE8" s="83"/>
      <c r="AF8" s="83"/>
      <c r="AG8" s="83"/>
      <c r="AH8" s="83"/>
      <c r="AI8" s="83"/>
    </row>
    <row r="9">
      <c r="A9" s="42" t="s">
        <v>35</v>
      </c>
      <c r="B9" s="40" t="s">
        <v>36</v>
      </c>
      <c r="C9" s="83"/>
      <c r="D9" s="83"/>
      <c r="E9" s="83"/>
      <c r="F9" s="83"/>
      <c r="G9" s="83"/>
      <c r="H9" s="83"/>
      <c r="I9" s="5"/>
      <c r="J9" s="42" t="s">
        <v>35</v>
      </c>
      <c r="K9" s="40" t="s">
        <v>36</v>
      </c>
      <c r="L9" s="83"/>
      <c r="M9" s="83"/>
      <c r="N9" s="83"/>
      <c r="O9" s="83"/>
      <c r="P9" s="83"/>
      <c r="Q9" s="83"/>
      <c r="R9" s="5"/>
      <c r="S9" s="42" t="s">
        <v>35</v>
      </c>
      <c r="T9" s="40" t="s">
        <v>36</v>
      </c>
      <c r="U9" s="83"/>
      <c r="V9" s="83"/>
      <c r="W9" s="83"/>
      <c r="X9" s="83"/>
      <c r="Y9" s="83"/>
      <c r="Z9" s="83"/>
      <c r="AA9" s="5"/>
      <c r="AB9" s="42" t="s">
        <v>35</v>
      </c>
      <c r="AC9" s="40" t="s">
        <v>36</v>
      </c>
      <c r="AD9" s="83"/>
      <c r="AE9" s="83"/>
      <c r="AF9" s="83"/>
      <c r="AG9" s="83"/>
      <c r="AH9" s="83"/>
      <c r="AI9" s="83"/>
    </row>
    <row r="10">
      <c r="A10" s="36"/>
      <c r="B10" s="34" t="s">
        <v>38</v>
      </c>
      <c r="C10" s="83"/>
      <c r="D10" s="83"/>
      <c r="E10" s="83"/>
      <c r="F10" s="83"/>
      <c r="G10" s="83"/>
      <c r="H10" s="83"/>
      <c r="I10" s="5"/>
      <c r="J10" s="36"/>
      <c r="K10" s="34" t="s">
        <v>38</v>
      </c>
      <c r="L10" s="83"/>
      <c r="M10" s="83"/>
      <c r="N10" s="83"/>
      <c r="O10" s="83"/>
      <c r="P10" s="83"/>
      <c r="Q10" s="83"/>
      <c r="R10" s="5"/>
      <c r="S10" s="68"/>
      <c r="T10" s="34" t="s">
        <v>38</v>
      </c>
      <c r="U10" s="83"/>
      <c r="V10" s="83"/>
      <c r="W10" s="83"/>
      <c r="X10" s="83"/>
      <c r="Y10" s="83"/>
      <c r="Z10" s="83"/>
      <c r="AA10" s="5"/>
      <c r="AB10" s="68"/>
      <c r="AC10" s="34" t="s">
        <v>38</v>
      </c>
      <c r="AD10" s="83"/>
      <c r="AE10" s="83"/>
      <c r="AF10" s="83"/>
      <c r="AG10" s="83"/>
      <c r="AH10" s="85"/>
      <c r="AI10" s="83"/>
    </row>
    <row r="11">
      <c r="A11" s="43"/>
      <c r="B11" s="40" t="s">
        <v>42</v>
      </c>
      <c r="C11" s="83"/>
      <c r="D11" s="83"/>
      <c r="E11" s="83"/>
      <c r="F11" s="83"/>
      <c r="G11" s="83"/>
      <c r="H11" s="83"/>
      <c r="I11" s="5"/>
      <c r="J11" s="43"/>
      <c r="K11" s="40" t="s">
        <v>42</v>
      </c>
      <c r="L11" s="83"/>
      <c r="M11" s="83"/>
      <c r="N11" s="83"/>
      <c r="O11" s="83"/>
      <c r="P11" s="83"/>
      <c r="Q11" s="83"/>
      <c r="R11" s="5"/>
      <c r="S11" s="39"/>
      <c r="T11" s="40" t="s">
        <v>42</v>
      </c>
      <c r="U11" s="83"/>
      <c r="V11" s="83"/>
      <c r="W11" s="83"/>
      <c r="X11" s="83"/>
      <c r="Y11" s="83"/>
      <c r="Z11" s="83"/>
      <c r="AA11" s="5"/>
      <c r="AB11" s="39"/>
      <c r="AC11" s="40" t="s">
        <v>42</v>
      </c>
      <c r="AD11" s="83"/>
      <c r="AE11" s="83"/>
      <c r="AF11" s="83"/>
      <c r="AG11" s="83"/>
      <c r="AH11" s="83"/>
      <c r="AI11" s="83"/>
    </row>
    <row r="12">
      <c r="A12" s="41">
        <f>COUNTIF(C5:H28,"=2")/6</f>
        <v>0</v>
      </c>
      <c r="B12" s="40" t="s">
        <v>43</v>
      </c>
      <c r="C12" s="83"/>
      <c r="D12" s="83"/>
      <c r="E12" s="83"/>
      <c r="F12" s="83"/>
      <c r="G12" s="83"/>
      <c r="H12" s="83"/>
      <c r="I12" s="5"/>
      <c r="J12" s="41">
        <f>COUNTIF(L5:Q28,"=2")/6</f>
        <v>0</v>
      </c>
      <c r="K12" s="40" t="s">
        <v>43</v>
      </c>
      <c r="L12" s="83"/>
      <c r="M12" s="83"/>
      <c r="N12" s="83"/>
      <c r="O12" s="83"/>
      <c r="P12" s="83"/>
      <c r="Q12" s="83"/>
      <c r="R12" s="5"/>
      <c r="S12" s="41">
        <f>COUNTIF(U5:Z28,"=2")/6</f>
        <v>0</v>
      </c>
      <c r="T12" s="40" t="s">
        <v>43</v>
      </c>
      <c r="U12" s="83"/>
      <c r="V12" s="83"/>
      <c r="W12" s="83"/>
      <c r="X12" s="83"/>
      <c r="Y12" s="83"/>
      <c r="Z12" s="83"/>
      <c r="AA12" s="5"/>
      <c r="AB12" s="41">
        <f>COUNTIF(AD5:AI28,"=2")/6</f>
        <v>0</v>
      </c>
      <c r="AC12" s="40" t="s">
        <v>43</v>
      </c>
      <c r="AD12" s="83"/>
      <c r="AE12" s="83"/>
      <c r="AF12" s="83"/>
      <c r="AG12" s="83"/>
      <c r="AH12" s="83"/>
      <c r="AI12" s="83"/>
    </row>
    <row r="13">
      <c r="A13" s="44" t="s">
        <v>44</v>
      </c>
      <c r="B13" s="40" t="s">
        <v>45</v>
      </c>
      <c r="C13" s="83"/>
      <c r="D13" s="83"/>
      <c r="E13" s="83"/>
      <c r="F13" s="83"/>
      <c r="G13" s="83"/>
      <c r="H13" s="83"/>
      <c r="I13" s="5"/>
      <c r="J13" s="44" t="s">
        <v>44</v>
      </c>
      <c r="K13" s="40" t="s">
        <v>45</v>
      </c>
      <c r="L13" s="83"/>
      <c r="M13" s="83"/>
      <c r="N13" s="83"/>
      <c r="O13" s="83"/>
      <c r="P13" s="83"/>
      <c r="Q13" s="83"/>
      <c r="R13" s="5"/>
      <c r="S13" s="44" t="s">
        <v>44</v>
      </c>
      <c r="T13" s="40" t="s">
        <v>45</v>
      </c>
      <c r="U13" s="83"/>
      <c r="V13" s="83"/>
      <c r="W13" s="83"/>
      <c r="X13" s="83"/>
      <c r="Y13" s="83"/>
      <c r="Z13" s="83"/>
      <c r="AA13" s="5"/>
      <c r="AB13" s="44" t="s">
        <v>44</v>
      </c>
      <c r="AC13" s="40" t="s">
        <v>45</v>
      </c>
      <c r="AD13" s="83"/>
      <c r="AE13" s="83"/>
      <c r="AF13" s="83"/>
      <c r="AG13" s="83"/>
      <c r="AH13" s="83"/>
      <c r="AI13" s="83"/>
    </row>
    <row r="14">
      <c r="A14" s="36"/>
      <c r="B14" s="34" t="s">
        <v>47</v>
      </c>
      <c r="C14" s="83"/>
      <c r="D14" s="83"/>
      <c r="E14" s="83"/>
      <c r="F14" s="83"/>
      <c r="G14" s="83"/>
      <c r="H14" s="83"/>
      <c r="I14" s="5"/>
      <c r="J14" s="36"/>
      <c r="K14" s="34" t="s">
        <v>47</v>
      </c>
      <c r="L14" s="83"/>
      <c r="M14" s="83"/>
      <c r="N14" s="83"/>
      <c r="O14" s="83"/>
      <c r="P14" s="83"/>
      <c r="Q14" s="83"/>
      <c r="R14" s="5"/>
      <c r="S14" s="38"/>
      <c r="T14" s="34" t="s">
        <v>47</v>
      </c>
      <c r="U14" s="83"/>
      <c r="V14" s="83"/>
      <c r="W14" s="83"/>
      <c r="X14" s="83"/>
      <c r="Y14" s="83"/>
      <c r="Z14" s="83"/>
      <c r="AA14" s="5"/>
      <c r="AB14" s="38"/>
      <c r="AC14" s="34" t="s">
        <v>47</v>
      </c>
      <c r="AD14" s="83"/>
      <c r="AE14" s="83"/>
      <c r="AF14" s="83"/>
      <c r="AG14" s="83"/>
      <c r="AH14" s="83"/>
      <c r="AI14" s="83"/>
    </row>
    <row r="15">
      <c r="A15" s="39"/>
      <c r="B15" s="40" t="s">
        <v>22</v>
      </c>
      <c r="C15" s="83"/>
      <c r="D15" s="83"/>
      <c r="E15" s="83"/>
      <c r="F15" s="83"/>
      <c r="G15" s="83"/>
      <c r="H15" s="83"/>
      <c r="I15" s="5"/>
      <c r="J15" s="43"/>
      <c r="K15" s="40" t="s">
        <v>22</v>
      </c>
      <c r="L15" s="83"/>
      <c r="M15" s="83"/>
      <c r="N15" s="83"/>
      <c r="O15" s="83"/>
      <c r="P15" s="83"/>
      <c r="Q15" s="83"/>
      <c r="R15" s="5"/>
      <c r="S15" s="39"/>
      <c r="T15" s="40" t="s">
        <v>22</v>
      </c>
      <c r="U15" s="83"/>
      <c r="V15" s="83"/>
      <c r="W15" s="83"/>
      <c r="X15" s="83"/>
      <c r="Y15" s="83"/>
      <c r="Z15" s="83"/>
      <c r="AA15" s="5"/>
      <c r="AB15" s="39"/>
      <c r="AC15" s="40" t="s">
        <v>22</v>
      </c>
      <c r="AD15" s="83"/>
      <c r="AE15" s="83"/>
      <c r="AF15" s="83"/>
      <c r="AG15" s="83"/>
      <c r="AH15" s="83"/>
      <c r="AI15" s="83"/>
    </row>
    <row r="16">
      <c r="A16" s="41">
        <f>COUNTIF(C5:H28,"=3")/6</f>
        <v>0</v>
      </c>
      <c r="B16" s="40" t="s">
        <v>50</v>
      </c>
      <c r="C16" s="83"/>
      <c r="D16" s="83"/>
      <c r="E16" s="83"/>
      <c r="F16" s="83"/>
      <c r="G16" s="83"/>
      <c r="H16" s="83"/>
      <c r="I16" s="5"/>
      <c r="J16" s="41">
        <f>COUNTIF(L5:Q28,"=3")/6</f>
        <v>0</v>
      </c>
      <c r="K16" s="40" t="s">
        <v>50</v>
      </c>
      <c r="L16" s="83"/>
      <c r="M16" s="83"/>
      <c r="N16" s="83"/>
      <c r="O16" s="83"/>
      <c r="P16" s="83"/>
      <c r="Q16" s="83"/>
      <c r="R16" s="5"/>
      <c r="S16" s="41">
        <f>COUNTIF(U5:Z28,"=3")/6</f>
        <v>0</v>
      </c>
      <c r="T16" s="40" t="s">
        <v>50</v>
      </c>
      <c r="U16" s="83"/>
      <c r="V16" s="83"/>
      <c r="W16" s="83"/>
      <c r="X16" s="83"/>
      <c r="Y16" s="83"/>
      <c r="Z16" s="83"/>
      <c r="AA16" s="5"/>
      <c r="AB16" s="41">
        <f>COUNTIF(AD5:AI28,"=3")/6</f>
        <v>0</v>
      </c>
      <c r="AC16" s="40" t="s">
        <v>50</v>
      </c>
      <c r="AD16" s="83"/>
      <c r="AE16" s="83"/>
      <c r="AF16" s="83"/>
      <c r="AG16" s="83"/>
      <c r="AH16" s="83"/>
      <c r="AI16" s="83"/>
    </row>
    <row r="17">
      <c r="A17" s="45" t="s">
        <v>51</v>
      </c>
      <c r="B17" s="40" t="s">
        <v>52</v>
      </c>
      <c r="C17" s="83"/>
      <c r="D17" s="83"/>
      <c r="E17" s="83"/>
      <c r="F17" s="83"/>
      <c r="G17" s="83"/>
      <c r="H17" s="83"/>
      <c r="I17" s="5"/>
      <c r="J17" s="45" t="s">
        <v>51</v>
      </c>
      <c r="K17" s="40" t="s">
        <v>52</v>
      </c>
      <c r="L17" s="83"/>
      <c r="M17" s="83"/>
      <c r="N17" s="83"/>
      <c r="O17" s="83"/>
      <c r="P17" s="83"/>
      <c r="Q17" s="83"/>
      <c r="R17" s="5"/>
      <c r="S17" s="45" t="s">
        <v>51</v>
      </c>
      <c r="T17" s="40" t="s">
        <v>52</v>
      </c>
      <c r="U17" s="83"/>
      <c r="V17" s="83"/>
      <c r="W17" s="83"/>
      <c r="X17" s="83"/>
      <c r="Y17" s="83"/>
      <c r="Z17" s="83"/>
      <c r="AA17" s="5"/>
      <c r="AB17" s="45" t="s">
        <v>51</v>
      </c>
      <c r="AC17" s="40" t="s">
        <v>52</v>
      </c>
      <c r="AD17" s="83"/>
      <c r="AE17" s="83"/>
      <c r="AF17" s="83"/>
      <c r="AG17" s="83"/>
      <c r="AH17" s="83"/>
      <c r="AI17" s="83"/>
    </row>
    <row r="18">
      <c r="A18" s="36"/>
      <c r="B18" s="34" t="s">
        <v>54</v>
      </c>
      <c r="C18" s="83"/>
      <c r="D18" s="83"/>
      <c r="E18" s="83"/>
      <c r="F18" s="83"/>
      <c r="G18" s="83"/>
      <c r="H18" s="83"/>
      <c r="I18" s="5"/>
      <c r="J18" s="36"/>
      <c r="K18" s="34" t="s">
        <v>54</v>
      </c>
      <c r="L18" s="83"/>
      <c r="M18" s="83"/>
      <c r="N18" s="83"/>
      <c r="O18" s="83"/>
      <c r="P18" s="83"/>
      <c r="Q18" s="83"/>
      <c r="R18" s="5"/>
      <c r="S18" s="38"/>
      <c r="T18" s="34" t="s">
        <v>54</v>
      </c>
      <c r="U18" s="83"/>
      <c r="V18" s="83"/>
      <c r="W18" s="83"/>
      <c r="X18" s="83"/>
      <c r="Y18" s="83"/>
      <c r="Z18" s="83"/>
      <c r="AA18" s="5"/>
      <c r="AB18" s="38"/>
      <c r="AC18" s="34" t="s">
        <v>54</v>
      </c>
      <c r="AD18" s="83"/>
      <c r="AE18" s="83"/>
      <c r="AF18" s="83"/>
      <c r="AG18" s="83"/>
      <c r="AH18" s="83"/>
      <c r="AI18" s="83"/>
    </row>
    <row r="19">
      <c r="A19" s="43"/>
      <c r="B19" s="40" t="s">
        <v>58</v>
      </c>
      <c r="C19" s="83"/>
      <c r="D19" s="83"/>
      <c r="E19" s="83"/>
      <c r="F19" s="83"/>
      <c r="G19" s="83"/>
      <c r="H19" s="83"/>
      <c r="I19" s="5"/>
      <c r="J19" s="46"/>
      <c r="K19" s="40" t="s">
        <v>58</v>
      </c>
      <c r="L19" s="83"/>
      <c r="M19" s="83"/>
      <c r="N19" s="83"/>
      <c r="O19" s="83"/>
      <c r="P19" s="83"/>
      <c r="Q19" s="83"/>
      <c r="R19" s="5"/>
      <c r="S19" s="46"/>
      <c r="T19" s="40" t="s">
        <v>58</v>
      </c>
      <c r="U19" s="83"/>
      <c r="V19" s="83"/>
      <c r="W19" s="83"/>
      <c r="X19" s="83"/>
      <c r="Y19" s="83"/>
      <c r="Z19" s="83"/>
      <c r="AA19" s="5"/>
      <c r="AB19" s="46"/>
      <c r="AC19" s="40" t="s">
        <v>58</v>
      </c>
      <c r="AD19" s="83"/>
      <c r="AE19" s="83"/>
      <c r="AF19" s="83"/>
      <c r="AG19" s="83"/>
      <c r="AH19" s="83"/>
      <c r="AI19" s="83"/>
    </row>
    <row r="20">
      <c r="A20" s="41">
        <f>COUNTIF(C5:H28,"=4")/6</f>
        <v>0</v>
      </c>
      <c r="B20" s="40" t="s">
        <v>59</v>
      </c>
      <c r="C20" s="83"/>
      <c r="D20" s="83"/>
      <c r="E20" s="83"/>
      <c r="F20" s="83"/>
      <c r="G20" s="83"/>
      <c r="H20" s="83"/>
      <c r="I20" s="5"/>
      <c r="J20" s="41">
        <f>COUNTIF(L5:Q28,"=4")/6</f>
        <v>0</v>
      </c>
      <c r="K20" s="40" t="s">
        <v>59</v>
      </c>
      <c r="L20" s="83"/>
      <c r="M20" s="83"/>
      <c r="N20" s="83"/>
      <c r="O20" s="83"/>
      <c r="P20" s="83"/>
      <c r="Q20" s="83"/>
      <c r="R20" s="5"/>
      <c r="S20" s="41">
        <f>COUNTIF(U5:Z28,"=4")/6</f>
        <v>0</v>
      </c>
      <c r="T20" s="40" t="s">
        <v>59</v>
      </c>
      <c r="U20" s="83"/>
      <c r="V20" s="83"/>
      <c r="W20" s="83"/>
      <c r="X20" s="83"/>
      <c r="Y20" s="83"/>
      <c r="Z20" s="83"/>
      <c r="AA20" s="5"/>
      <c r="AB20" s="41">
        <f>COUNTIF(AD5:AI28,"=4")/6</f>
        <v>0</v>
      </c>
      <c r="AC20" s="40" t="s">
        <v>59</v>
      </c>
      <c r="AD20" s="83"/>
      <c r="AE20" s="83"/>
      <c r="AF20" s="83"/>
      <c r="AG20" s="83"/>
      <c r="AH20" s="83"/>
      <c r="AI20" s="83"/>
    </row>
    <row r="21">
      <c r="A21" s="47" t="s">
        <v>60</v>
      </c>
      <c r="B21" s="40" t="s">
        <v>61</v>
      </c>
      <c r="C21" s="83"/>
      <c r="D21" s="83"/>
      <c r="E21" s="83"/>
      <c r="F21" s="83"/>
      <c r="G21" s="83"/>
      <c r="H21" s="83"/>
      <c r="I21" s="5"/>
      <c r="J21" s="47" t="s">
        <v>60</v>
      </c>
      <c r="K21" s="40" t="s">
        <v>61</v>
      </c>
      <c r="L21" s="83"/>
      <c r="M21" s="83"/>
      <c r="N21" s="83"/>
      <c r="O21" s="83"/>
      <c r="P21" s="83"/>
      <c r="Q21" s="83"/>
      <c r="R21" s="5"/>
      <c r="S21" s="47" t="s">
        <v>60</v>
      </c>
      <c r="T21" s="40" t="s">
        <v>61</v>
      </c>
      <c r="U21" s="83"/>
      <c r="V21" s="83"/>
      <c r="W21" s="83"/>
      <c r="X21" s="83"/>
      <c r="Y21" s="83"/>
      <c r="Z21" s="83"/>
      <c r="AA21" s="5"/>
      <c r="AB21" s="47" t="s">
        <v>60</v>
      </c>
      <c r="AC21" s="40" t="s">
        <v>61</v>
      </c>
      <c r="AD21" s="83"/>
      <c r="AE21" s="83"/>
      <c r="AF21" s="83"/>
      <c r="AG21" s="83"/>
      <c r="AH21" s="83"/>
      <c r="AI21" s="83"/>
    </row>
    <row r="22">
      <c r="A22" s="36"/>
      <c r="B22" s="34" t="s">
        <v>63</v>
      </c>
      <c r="C22" s="83"/>
      <c r="D22" s="83"/>
      <c r="E22" s="83"/>
      <c r="F22" s="83"/>
      <c r="G22" s="83"/>
      <c r="H22" s="83"/>
      <c r="I22" s="5"/>
      <c r="J22" s="36"/>
      <c r="K22" s="34" t="s">
        <v>63</v>
      </c>
      <c r="L22" s="83"/>
      <c r="M22" s="83"/>
      <c r="N22" s="83"/>
      <c r="O22" s="83"/>
      <c r="P22" s="83"/>
      <c r="Q22" s="83"/>
      <c r="R22" s="5"/>
      <c r="S22" s="36"/>
      <c r="T22" s="34" t="s">
        <v>63</v>
      </c>
      <c r="U22" s="83"/>
      <c r="V22" s="83"/>
      <c r="W22" s="83"/>
      <c r="X22" s="83"/>
      <c r="Y22" s="83"/>
      <c r="Z22" s="83"/>
      <c r="AA22" s="5"/>
      <c r="AB22" s="38"/>
      <c r="AC22" s="34" t="s">
        <v>63</v>
      </c>
      <c r="AD22" s="83"/>
      <c r="AE22" s="83"/>
      <c r="AF22" s="83"/>
      <c r="AG22" s="83"/>
      <c r="AH22" s="83"/>
      <c r="AI22" s="83"/>
    </row>
    <row r="23">
      <c r="A23" s="46"/>
      <c r="B23" s="40" t="s">
        <v>67</v>
      </c>
      <c r="C23" s="83"/>
      <c r="D23" s="83"/>
      <c r="E23" s="83"/>
      <c r="F23" s="83"/>
      <c r="G23" s="83"/>
      <c r="H23" s="83"/>
      <c r="I23" s="5"/>
      <c r="J23" s="43"/>
      <c r="K23" s="40" t="s">
        <v>67</v>
      </c>
      <c r="L23" s="83"/>
      <c r="M23" s="83"/>
      <c r="N23" s="83"/>
      <c r="O23" s="83"/>
      <c r="P23" s="83"/>
      <c r="Q23" s="83"/>
      <c r="R23" s="5"/>
      <c r="S23" s="46"/>
      <c r="T23" s="40" t="s">
        <v>67</v>
      </c>
      <c r="U23" s="83"/>
      <c r="V23" s="83"/>
      <c r="W23" s="83"/>
      <c r="X23" s="83"/>
      <c r="Y23" s="83"/>
      <c r="Z23" s="83"/>
      <c r="AA23" s="5"/>
      <c r="AB23" s="46"/>
      <c r="AC23" s="40" t="s">
        <v>67</v>
      </c>
      <c r="AD23" s="83"/>
      <c r="AE23" s="83"/>
      <c r="AF23" s="83"/>
      <c r="AG23" s="83"/>
      <c r="AH23" s="83"/>
      <c r="AI23" s="83"/>
    </row>
    <row r="24">
      <c r="A24" s="41">
        <f>COUNTIF(C5:H28,"=5")/6</f>
        <v>0</v>
      </c>
      <c r="B24" s="40" t="s">
        <v>68</v>
      </c>
      <c r="C24" s="83"/>
      <c r="D24" s="83"/>
      <c r="E24" s="83"/>
      <c r="F24" s="83"/>
      <c r="G24" s="83"/>
      <c r="H24" s="83"/>
      <c r="I24" s="5"/>
      <c r="J24" s="41">
        <f>COUNTIF(L5:Q28,"=5")/6</f>
        <v>0</v>
      </c>
      <c r="K24" s="40" t="s">
        <v>68</v>
      </c>
      <c r="L24" s="83"/>
      <c r="M24" s="83"/>
      <c r="N24" s="83"/>
      <c r="O24" s="83"/>
      <c r="P24" s="83"/>
      <c r="Q24" s="83"/>
      <c r="R24" s="5"/>
      <c r="S24" s="41">
        <f>COUNTIF(U5:Z28,"=5")/6</f>
        <v>0</v>
      </c>
      <c r="T24" s="40" t="s">
        <v>68</v>
      </c>
      <c r="U24" s="83"/>
      <c r="V24" s="83"/>
      <c r="W24" s="83"/>
      <c r="X24" s="83"/>
      <c r="Y24" s="83"/>
      <c r="Z24" s="83"/>
      <c r="AA24" s="5"/>
      <c r="AB24" s="41">
        <f>COUNTIF(AD5:AI28,"=5")/6</f>
        <v>0</v>
      </c>
      <c r="AC24" s="40" t="s">
        <v>68</v>
      </c>
      <c r="AD24" s="83"/>
      <c r="AE24" s="83"/>
      <c r="AF24" s="83"/>
      <c r="AG24" s="83"/>
      <c r="AH24" s="83"/>
      <c r="AI24" s="83"/>
    </row>
    <row r="25">
      <c r="A25" s="48" t="s">
        <v>69</v>
      </c>
      <c r="B25" s="40" t="s">
        <v>23</v>
      </c>
      <c r="C25" s="83"/>
      <c r="D25" s="83"/>
      <c r="E25" s="83"/>
      <c r="F25" s="83"/>
      <c r="G25" s="83"/>
      <c r="H25" s="83"/>
      <c r="I25" s="5"/>
      <c r="J25" s="48" t="s">
        <v>69</v>
      </c>
      <c r="K25" s="40" t="s">
        <v>23</v>
      </c>
      <c r="L25" s="83"/>
      <c r="M25" s="83"/>
      <c r="N25" s="83"/>
      <c r="O25" s="83"/>
      <c r="P25" s="83"/>
      <c r="Q25" s="83"/>
      <c r="R25" s="5"/>
      <c r="S25" s="48" t="s">
        <v>69</v>
      </c>
      <c r="T25" s="40" t="s">
        <v>23</v>
      </c>
      <c r="U25" s="83"/>
      <c r="V25" s="83"/>
      <c r="W25" s="83"/>
      <c r="X25" s="83"/>
      <c r="Y25" s="83"/>
      <c r="Z25" s="83"/>
      <c r="AA25" s="5"/>
      <c r="AB25" s="48" t="s">
        <v>69</v>
      </c>
      <c r="AC25" s="40" t="s">
        <v>23</v>
      </c>
      <c r="AD25" s="83"/>
      <c r="AE25" s="83"/>
      <c r="AF25" s="83"/>
      <c r="AG25" s="83"/>
      <c r="AH25" s="83"/>
      <c r="AI25" s="83"/>
    </row>
    <row r="26">
      <c r="A26" s="43"/>
      <c r="B26" s="34" t="s">
        <v>70</v>
      </c>
      <c r="C26" s="83"/>
      <c r="D26" s="83"/>
      <c r="E26" s="83"/>
      <c r="F26" s="83"/>
      <c r="G26" s="83"/>
      <c r="H26" s="83"/>
      <c r="I26" s="5"/>
      <c r="J26" s="43"/>
      <c r="K26" s="34" t="s">
        <v>70</v>
      </c>
      <c r="L26" s="83"/>
      <c r="M26" s="83"/>
      <c r="N26" s="83"/>
      <c r="O26" s="83"/>
      <c r="P26" s="83"/>
      <c r="Q26" s="83"/>
      <c r="R26" s="5"/>
      <c r="S26" s="46"/>
      <c r="T26" s="34" t="s">
        <v>70</v>
      </c>
      <c r="U26" s="83"/>
      <c r="V26" s="83"/>
      <c r="W26" s="83"/>
      <c r="X26" s="83"/>
      <c r="Y26" s="83"/>
      <c r="Z26" s="83"/>
      <c r="AA26" s="5"/>
      <c r="AB26" s="46"/>
      <c r="AC26" s="34" t="s">
        <v>70</v>
      </c>
      <c r="AD26" s="83"/>
      <c r="AE26" s="83"/>
      <c r="AF26" s="83"/>
      <c r="AG26" s="83"/>
      <c r="AH26" s="83"/>
      <c r="AI26" s="83"/>
    </row>
    <row r="27">
      <c r="A27" s="43"/>
      <c r="B27" s="34" t="s">
        <v>72</v>
      </c>
      <c r="C27" s="83"/>
      <c r="D27" s="83"/>
      <c r="E27" s="83"/>
      <c r="F27" s="83"/>
      <c r="G27" s="83"/>
      <c r="H27" s="83"/>
      <c r="I27" s="5"/>
      <c r="J27" s="43"/>
      <c r="K27" s="34" t="s">
        <v>72</v>
      </c>
      <c r="L27" s="83"/>
      <c r="M27" s="83"/>
      <c r="N27" s="83"/>
      <c r="O27" s="83"/>
      <c r="P27" s="83"/>
      <c r="Q27" s="83"/>
      <c r="R27" s="5"/>
      <c r="S27" s="39"/>
      <c r="T27" s="34" t="s">
        <v>72</v>
      </c>
      <c r="U27" s="83"/>
      <c r="V27" s="83"/>
      <c r="W27" s="83"/>
      <c r="X27" s="83"/>
      <c r="Y27" s="83"/>
      <c r="Z27" s="83"/>
      <c r="AA27" s="5"/>
      <c r="AB27" s="39"/>
      <c r="AC27" s="34" t="s">
        <v>72</v>
      </c>
      <c r="AD27" s="83"/>
      <c r="AE27" s="83"/>
      <c r="AF27" s="83"/>
      <c r="AG27" s="83"/>
      <c r="AH27" s="83"/>
      <c r="AI27" s="83"/>
    </row>
    <row r="28">
      <c r="A28" s="49"/>
      <c r="B28" s="34" t="s">
        <v>73</v>
      </c>
      <c r="C28" s="83"/>
      <c r="D28" s="83"/>
      <c r="E28" s="83"/>
      <c r="F28" s="83"/>
      <c r="G28" s="83"/>
      <c r="H28" s="83"/>
      <c r="I28" s="5"/>
      <c r="J28" s="49"/>
      <c r="K28" s="34" t="s">
        <v>73</v>
      </c>
      <c r="L28" s="83"/>
      <c r="M28" s="83"/>
      <c r="N28" s="83"/>
      <c r="O28" s="83"/>
      <c r="P28" s="83"/>
      <c r="Q28" s="83"/>
      <c r="R28" s="5"/>
      <c r="S28" s="49"/>
      <c r="T28" s="34" t="s">
        <v>73</v>
      </c>
      <c r="U28" s="83"/>
      <c r="V28" s="83"/>
      <c r="W28" s="83"/>
      <c r="X28" s="83"/>
      <c r="Y28" s="83"/>
      <c r="Z28" s="83"/>
      <c r="AA28" s="5"/>
      <c r="AB28" s="49"/>
      <c r="AC28" s="34" t="s">
        <v>73</v>
      </c>
      <c r="AD28" s="83"/>
      <c r="AE28" s="83"/>
      <c r="AF28" s="83"/>
      <c r="AG28" s="83"/>
      <c r="AH28" s="83"/>
      <c r="AI28" s="83"/>
    </row>
    <row r="29">
      <c r="A29" s="50">
        <f>SUM(A8,A12,A16,A20,A24)</f>
        <v>0</v>
      </c>
      <c r="B29" s="5"/>
      <c r="C29" s="5"/>
      <c r="D29" s="5"/>
      <c r="E29" s="5"/>
      <c r="F29" s="5"/>
      <c r="G29" s="5"/>
      <c r="H29" s="5"/>
      <c r="I29" s="5"/>
      <c r="J29" s="50">
        <f>SUM(J8,J12,J16,J20,J24)</f>
        <v>0</v>
      </c>
      <c r="K29" s="5"/>
      <c r="L29" s="5"/>
      <c r="M29" s="5"/>
      <c r="N29" s="5"/>
      <c r="O29" s="5"/>
      <c r="P29" s="5"/>
      <c r="Q29" s="5"/>
      <c r="R29" s="5"/>
      <c r="S29" s="50">
        <f>SUM(S8,S12,S16,S20,S24)</f>
        <v>0</v>
      </c>
      <c r="T29" s="5"/>
      <c r="U29" s="5"/>
      <c r="V29" s="5"/>
      <c r="W29" s="5"/>
      <c r="X29" s="5"/>
      <c r="Y29" s="5"/>
      <c r="Z29" s="5"/>
      <c r="AA29" s="5"/>
      <c r="AB29" s="50">
        <f>SUM(AB8,AB12,AB16,AB20,AB24)</f>
        <v>0</v>
      </c>
      <c r="AC29" s="5"/>
      <c r="AD29" s="5"/>
      <c r="AE29" s="5"/>
      <c r="AF29" s="5"/>
      <c r="AG29" s="5"/>
      <c r="AH29" s="5"/>
      <c r="AI29" s="51"/>
    </row>
    <row r="30">
      <c r="A30" s="52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1"/>
    </row>
    <row r="31">
      <c r="A31" s="53"/>
      <c r="B31" s="5"/>
      <c r="C31" s="5"/>
      <c r="D31" s="5"/>
      <c r="E31" s="5"/>
      <c r="F31" s="5"/>
      <c r="G31" s="5"/>
      <c r="H31" s="5"/>
      <c r="I31" s="5"/>
      <c r="J31" s="37"/>
      <c r="K31" s="5"/>
      <c r="L31" s="5"/>
      <c r="M31" s="5"/>
      <c r="N31" s="5"/>
      <c r="O31" s="5"/>
      <c r="P31" s="5"/>
      <c r="Q31" s="5"/>
      <c r="R31" s="5"/>
      <c r="S31" s="37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1"/>
    </row>
    <row r="32">
      <c r="A32" s="54" t="s">
        <v>134</v>
      </c>
      <c r="B32" s="24" t="s">
        <v>16</v>
      </c>
      <c r="C32" s="25"/>
      <c r="D32" s="26">
        <v>1.0</v>
      </c>
      <c r="E32" s="27">
        <v>2.0</v>
      </c>
      <c r="F32" s="28">
        <v>3.0</v>
      </c>
      <c r="G32" s="29">
        <v>4.0</v>
      </c>
      <c r="H32" s="30">
        <v>5.0</v>
      </c>
      <c r="I32" s="5"/>
      <c r="J32" s="54" t="s">
        <v>135</v>
      </c>
      <c r="K32" s="24" t="s">
        <v>16</v>
      </c>
      <c r="L32" s="25"/>
      <c r="M32" s="26">
        <v>1.0</v>
      </c>
      <c r="N32" s="27">
        <v>2.0</v>
      </c>
      <c r="O32" s="28">
        <v>3.0</v>
      </c>
      <c r="P32" s="29">
        <v>4.0</v>
      </c>
      <c r="Q32" s="30">
        <v>5.0</v>
      </c>
      <c r="R32" s="5"/>
      <c r="S32" s="54" t="s">
        <v>136</v>
      </c>
      <c r="T32" s="24" t="s">
        <v>16</v>
      </c>
      <c r="U32" s="25"/>
      <c r="V32" s="26">
        <v>1.0</v>
      </c>
      <c r="W32" s="27">
        <v>2.0</v>
      </c>
      <c r="X32" s="28">
        <v>3.0</v>
      </c>
      <c r="Y32" s="29">
        <v>4.0</v>
      </c>
      <c r="Z32" s="30">
        <v>5.0</v>
      </c>
      <c r="AA32" s="5"/>
      <c r="AB32" s="54" t="s">
        <v>77</v>
      </c>
      <c r="AC32" s="55" t="s">
        <v>78</v>
      </c>
      <c r="AD32" s="55" t="s">
        <v>79</v>
      </c>
      <c r="AE32" s="55" t="s">
        <v>80</v>
      </c>
      <c r="AF32" s="55" t="s">
        <v>81</v>
      </c>
      <c r="AG32" s="55" t="s">
        <v>82</v>
      </c>
      <c r="AH32" s="55" t="s">
        <v>83</v>
      </c>
      <c r="AI32" s="55" t="s">
        <v>84</v>
      </c>
    </row>
    <row r="33">
      <c r="A33" s="31" t="s">
        <v>20</v>
      </c>
      <c r="B33" s="32" t="s">
        <v>21</v>
      </c>
      <c r="C33" s="32" t="s">
        <v>22</v>
      </c>
      <c r="D33" s="32" t="s">
        <v>23</v>
      </c>
      <c r="E33" s="32" t="s">
        <v>24</v>
      </c>
      <c r="F33" s="32" t="s">
        <v>25</v>
      </c>
      <c r="G33" s="32" t="s">
        <v>26</v>
      </c>
      <c r="H33" s="32" t="s">
        <v>27</v>
      </c>
      <c r="I33" s="5"/>
      <c r="J33" s="31" t="s">
        <v>20</v>
      </c>
      <c r="K33" s="32" t="s">
        <v>21</v>
      </c>
      <c r="L33" s="32" t="s">
        <v>22</v>
      </c>
      <c r="M33" s="32" t="s">
        <v>23</v>
      </c>
      <c r="N33" s="32" t="s">
        <v>24</v>
      </c>
      <c r="O33" s="32" t="s">
        <v>25</v>
      </c>
      <c r="P33" s="32" t="s">
        <v>26</v>
      </c>
      <c r="Q33" s="32" t="s">
        <v>27</v>
      </c>
      <c r="R33" s="5"/>
      <c r="S33" s="31" t="s">
        <v>20</v>
      </c>
      <c r="T33" s="32" t="s">
        <v>21</v>
      </c>
      <c r="U33" s="32" t="s">
        <v>22</v>
      </c>
      <c r="V33" s="32" t="s">
        <v>23</v>
      </c>
      <c r="W33" s="32" t="s">
        <v>24</v>
      </c>
      <c r="X33" s="32" t="s">
        <v>25</v>
      </c>
      <c r="Y33" s="32" t="s">
        <v>26</v>
      </c>
      <c r="Z33" s="32" t="s">
        <v>27</v>
      </c>
      <c r="AA33" s="5"/>
      <c r="AB33" s="33" t="s">
        <v>85</v>
      </c>
      <c r="AC33" s="56">
        <f>A8</f>
        <v>0</v>
      </c>
      <c r="AD33" s="56">
        <f>J8</f>
        <v>0</v>
      </c>
      <c r="AE33" s="56">
        <f>S8</f>
        <v>0</v>
      </c>
      <c r="AF33" s="56">
        <f>AB8</f>
        <v>0</v>
      </c>
      <c r="AG33" s="56">
        <f>A37</f>
        <v>0</v>
      </c>
      <c r="AH33" s="56">
        <f>J37</f>
        <v>0</v>
      </c>
      <c r="AI33" s="56">
        <f>S37</f>
        <v>0</v>
      </c>
    </row>
    <row r="34">
      <c r="A34" s="33" t="s">
        <v>28</v>
      </c>
      <c r="B34" s="34" t="s">
        <v>21</v>
      </c>
      <c r="C34" s="83"/>
      <c r="D34" s="83"/>
      <c r="E34" s="83"/>
      <c r="F34" s="83"/>
      <c r="G34" s="83"/>
      <c r="H34" s="83"/>
      <c r="I34" s="5"/>
      <c r="J34" s="33" t="s">
        <v>28</v>
      </c>
      <c r="K34" s="34" t="s">
        <v>21</v>
      </c>
      <c r="L34" s="83"/>
      <c r="M34" s="83"/>
      <c r="N34" s="83"/>
      <c r="O34" s="83"/>
      <c r="P34" s="83"/>
      <c r="Q34" s="83"/>
      <c r="R34" s="5"/>
      <c r="S34" s="35" t="s">
        <v>28</v>
      </c>
      <c r="T34" s="34" t="s">
        <v>21</v>
      </c>
      <c r="U34" s="83"/>
      <c r="V34" s="83"/>
      <c r="W34" s="83"/>
      <c r="X34" s="83"/>
      <c r="Y34" s="83"/>
      <c r="Z34" s="83"/>
      <c r="AA34" s="5"/>
      <c r="AB34" s="57"/>
      <c r="AC34" s="58" t="s">
        <v>86</v>
      </c>
      <c r="AD34" s="59"/>
      <c r="AE34" s="60">
        <f>SUM(AC33:AI33)</f>
        <v>0</v>
      </c>
      <c r="AF34" s="61" t="s">
        <v>87</v>
      </c>
      <c r="AG34" s="62"/>
      <c r="AH34" s="56">
        <f>AVERAGE(AC33:AI33)</f>
        <v>0</v>
      </c>
      <c r="AI34" s="51"/>
    </row>
    <row r="35">
      <c r="A35" s="38"/>
      <c r="B35" s="34" t="s">
        <v>30</v>
      </c>
      <c r="C35" s="83"/>
      <c r="D35" s="83"/>
      <c r="E35" s="83"/>
      <c r="F35" s="83"/>
      <c r="G35" s="83"/>
      <c r="H35" s="83"/>
      <c r="I35" s="37" t="s">
        <v>31</v>
      </c>
      <c r="J35" s="38"/>
      <c r="K35" s="34" t="s">
        <v>30</v>
      </c>
      <c r="L35" s="83"/>
      <c r="M35" s="83"/>
      <c r="N35" s="83"/>
      <c r="O35" s="83"/>
      <c r="P35" s="83"/>
      <c r="Q35" s="83"/>
      <c r="R35" s="5"/>
      <c r="S35" s="38"/>
      <c r="T35" s="34" t="s">
        <v>30</v>
      </c>
      <c r="U35" s="83"/>
      <c r="V35" s="83"/>
      <c r="W35" s="83"/>
      <c r="X35" s="83"/>
      <c r="Y35" s="83"/>
      <c r="Z35" s="83"/>
      <c r="AA35" s="5"/>
      <c r="AB35" s="63" t="s">
        <v>88</v>
      </c>
      <c r="AC35" s="56">
        <f>A12</f>
        <v>0</v>
      </c>
      <c r="AD35" s="56">
        <f>J12</f>
        <v>0</v>
      </c>
      <c r="AE35" s="56">
        <f>S12</f>
        <v>0</v>
      </c>
      <c r="AF35" s="56">
        <f>AB12</f>
        <v>0</v>
      </c>
      <c r="AG35" s="56">
        <f>A41</f>
        <v>0</v>
      </c>
      <c r="AH35" s="56">
        <f>J41</f>
        <v>0</v>
      </c>
      <c r="AI35" s="56">
        <f>S41</f>
        <v>0</v>
      </c>
    </row>
    <row r="36">
      <c r="A36" s="39"/>
      <c r="B36" s="40" t="s">
        <v>33</v>
      </c>
      <c r="C36" s="83"/>
      <c r="D36" s="83"/>
      <c r="E36" s="83"/>
      <c r="F36" s="83"/>
      <c r="G36" s="83"/>
      <c r="H36" s="83"/>
      <c r="I36" s="5"/>
      <c r="J36" s="39"/>
      <c r="K36" s="40" t="s">
        <v>33</v>
      </c>
      <c r="L36" s="83"/>
      <c r="M36" s="83"/>
      <c r="N36" s="83"/>
      <c r="O36" s="83"/>
      <c r="P36" s="83"/>
      <c r="Q36" s="83"/>
      <c r="R36" s="5"/>
      <c r="S36" s="39"/>
      <c r="T36" s="40" t="s">
        <v>33</v>
      </c>
      <c r="U36" s="83"/>
      <c r="V36" s="83"/>
      <c r="W36" s="83"/>
      <c r="X36" s="83"/>
      <c r="Y36" s="83"/>
      <c r="Z36" s="83"/>
      <c r="AA36" s="5"/>
      <c r="AB36" s="64"/>
      <c r="AC36" s="58" t="s">
        <v>86</v>
      </c>
      <c r="AD36" s="59"/>
      <c r="AE36" s="60">
        <f>SUM(AC35:AI35)</f>
        <v>0</v>
      </c>
      <c r="AF36" s="61" t="s">
        <v>87</v>
      </c>
      <c r="AG36" s="62"/>
      <c r="AH36" s="56">
        <f>AVERAGE(AC35:AI35)</f>
        <v>0</v>
      </c>
      <c r="AI36" s="51"/>
    </row>
    <row r="37">
      <c r="A37" s="41">
        <f>COUNTIF(C34:H57,"=1")/6</f>
        <v>0</v>
      </c>
      <c r="B37" s="40" t="s">
        <v>34</v>
      </c>
      <c r="C37" s="83"/>
      <c r="D37" s="83"/>
      <c r="E37" s="83"/>
      <c r="F37" s="83"/>
      <c r="G37" s="83"/>
      <c r="H37" s="83"/>
      <c r="I37" s="5"/>
      <c r="J37" s="41">
        <f>COUNTIF(L34:Q57,"=1")/6</f>
        <v>0</v>
      </c>
      <c r="K37" s="40" t="s">
        <v>34</v>
      </c>
      <c r="L37" s="83"/>
      <c r="M37" s="83"/>
      <c r="N37" s="83"/>
      <c r="O37" s="83"/>
      <c r="P37" s="83"/>
      <c r="Q37" s="83"/>
      <c r="R37" s="5"/>
      <c r="S37" s="41">
        <f>COUNTIF(U34:Z57,"=1")/6</f>
        <v>0</v>
      </c>
      <c r="T37" s="40" t="s">
        <v>34</v>
      </c>
      <c r="U37" s="83"/>
      <c r="V37" s="83"/>
      <c r="W37" s="83"/>
      <c r="X37" s="83"/>
      <c r="Y37" s="83"/>
      <c r="Z37" s="83"/>
      <c r="AA37" s="5"/>
      <c r="AB37" s="65" t="s">
        <v>89</v>
      </c>
      <c r="AC37" s="56">
        <f>A16</f>
        <v>0</v>
      </c>
      <c r="AD37" s="56">
        <f>J16</f>
        <v>0</v>
      </c>
      <c r="AE37" s="66" t="str">
        <f>S18</f>
        <v/>
      </c>
      <c r="AF37" s="56">
        <f>AB16</f>
        <v>0</v>
      </c>
      <c r="AG37" s="56">
        <f>A45</f>
        <v>0</v>
      </c>
      <c r="AH37" s="56">
        <f>J45</f>
        <v>0</v>
      </c>
      <c r="AI37" s="56">
        <f>S45</f>
        <v>0</v>
      </c>
    </row>
    <row r="38">
      <c r="A38" s="42" t="s">
        <v>35</v>
      </c>
      <c r="B38" s="40" t="s">
        <v>36</v>
      </c>
      <c r="C38" s="83"/>
      <c r="D38" s="83"/>
      <c r="E38" s="83"/>
      <c r="F38" s="83"/>
      <c r="G38" s="83"/>
      <c r="H38" s="83"/>
      <c r="I38" s="5"/>
      <c r="J38" s="42" t="s">
        <v>35</v>
      </c>
      <c r="K38" s="40" t="s">
        <v>36</v>
      </c>
      <c r="L38" s="83"/>
      <c r="M38" s="83"/>
      <c r="N38" s="83"/>
      <c r="O38" s="83"/>
      <c r="P38" s="83"/>
      <c r="Q38" s="83"/>
      <c r="R38" s="5"/>
      <c r="S38" s="42" t="s">
        <v>35</v>
      </c>
      <c r="T38" s="40" t="s">
        <v>36</v>
      </c>
      <c r="U38" s="83"/>
      <c r="V38" s="83"/>
      <c r="W38" s="83"/>
      <c r="X38" s="83"/>
      <c r="Y38" s="83"/>
      <c r="Z38" s="83"/>
      <c r="AA38" s="5"/>
      <c r="AB38" s="67"/>
      <c r="AC38" s="58" t="s">
        <v>86</v>
      </c>
      <c r="AD38" s="59"/>
      <c r="AE38" s="60">
        <f>SUM(AC37:AI37)</f>
        <v>0</v>
      </c>
      <c r="AF38" s="61" t="s">
        <v>87</v>
      </c>
      <c r="AG38" s="62"/>
      <c r="AH38" s="56">
        <f>AVERAGE(AC37:AI37)</f>
        <v>0</v>
      </c>
      <c r="AI38" s="51"/>
    </row>
    <row r="39">
      <c r="A39" s="68"/>
      <c r="B39" s="34" t="s">
        <v>38</v>
      </c>
      <c r="C39" s="83"/>
      <c r="D39" s="83"/>
      <c r="E39" s="83"/>
      <c r="F39" s="83"/>
      <c r="G39" s="85"/>
      <c r="H39" s="83"/>
      <c r="I39" s="5"/>
      <c r="J39" s="68"/>
      <c r="K39" s="34" t="s">
        <v>38</v>
      </c>
      <c r="L39" s="83"/>
      <c r="M39" s="83"/>
      <c r="N39" s="83"/>
      <c r="O39" s="83"/>
      <c r="P39" s="85"/>
      <c r="Q39" s="83"/>
      <c r="R39" s="5"/>
      <c r="S39" s="68"/>
      <c r="T39" s="34" t="s">
        <v>38</v>
      </c>
      <c r="U39" s="83"/>
      <c r="V39" s="83"/>
      <c r="W39" s="83"/>
      <c r="X39" s="83"/>
      <c r="Y39" s="85"/>
      <c r="Z39" s="83"/>
      <c r="AA39" s="5"/>
      <c r="AB39" s="69" t="s">
        <v>93</v>
      </c>
      <c r="AC39" s="56">
        <f>A20</f>
        <v>0</v>
      </c>
      <c r="AD39" s="56">
        <f>J20</f>
        <v>0</v>
      </c>
      <c r="AE39" s="56">
        <f>S20</f>
        <v>0</v>
      </c>
      <c r="AF39" s="56">
        <f>AB20</f>
        <v>0</v>
      </c>
      <c r="AG39" s="56">
        <f>A49</f>
        <v>0</v>
      </c>
      <c r="AH39" s="56">
        <f>J49</f>
        <v>0</v>
      </c>
      <c r="AI39" s="56">
        <f>S49</f>
        <v>0</v>
      </c>
    </row>
    <row r="40">
      <c r="A40" s="39"/>
      <c r="B40" s="40" t="s">
        <v>42</v>
      </c>
      <c r="C40" s="83"/>
      <c r="D40" s="83"/>
      <c r="E40" s="83"/>
      <c r="F40" s="83"/>
      <c r="G40" s="83"/>
      <c r="H40" s="83"/>
      <c r="I40" s="5"/>
      <c r="J40" s="39"/>
      <c r="K40" s="40" t="s">
        <v>42</v>
      </c>
      <c r="L40" s="83"/>
      <c r="M40" s="83"/>
      <c r="N40" s="83"/>
      <c r="O40" s="83"/>
      <c r="P40" s="83"/>
      <c r="Q40" s="83"/>
      <c r="R40" s="5"/>
      <c r="S40" s="39"/>
      <c r="T40" s="40" t="s">
        <v>42</v>
      </c>
      <c r="U40" s="83"/>
      <c r="V40" s="83"/>
      <c r="W40" s="83"/>
      <c r="X40" s="83"/>
      <c r="Y40" s="83"/>
      <c r="Z40" s="83"/>
      <c r="AA40" s="5"/>
      <c r="AB40" s="71"/>
      <c r="AC40" s="58" t="s">
        <v>86</v>
      </c>
      <c r="AD40" s="59"/>
      <c r="AE40" s="60">
        <f>SUM(AC39:AI39)</f>
        <v>0</v>
      </c>
      <c r="AF40" s="61" t="s">
        <v>87</v>
      </c>
      <c r="AG40" s="62"/>
      <c r="AH40" s="56">
        <f>AVERAGE(AC39:AI39)</f>
        <v>0</v>
      </c>
      <c r="AI40" s="51"/>
    </row>
    <row r="41">
      <c r="A41" s="41">
        <f>COUNTIF(C34:H57,"=2")/6</f>
        <v>0</v>
      </c>
      <c r="B41" s="40" t="s">
        <v>43</v>
      </c>
      <c r="C41" s="83"/>
      <c r="D41" s="83"/>
      <c r="E41" s="83"/>
      <c r="F41" s="83"/>
      <c r="G41" s="83"/>
      <c r="H41" s="83"/>
      <c r="I41" s="5"/>
      <c r="J41" s="41">
        <f>COUNTIF(L34:Q57,"=2")/6</f>
        <v>0</v>
      </c>
      <c r="K41" s="40" t="s">
        <v>43</v>
      </c>
      <c r="L41" s="83"/>
      <c r="M41" s="83"/>
      <c r="N41" s="83"/>
      <c r="O41" s="83"/>
      <c r="P41" s="83"/>
      <c r="Q41" s="83"/>
      <c r="R41" s="5"/>
      <c r="S41" s="41">
        <f>COUNTIF(U34:Z57,"=2")/6</f>
        <v>0</v>
      </c>
      <c r="T41" s="40" t="s">
        <v>43</v>
      </c>
      <c r="U41" s="83"/>
      <c r="V41" s="83"/>
      <c r="W41" s="83"/>
      <c r="X41" s="83"/>
      <c r="Y41" s="83"/>
      <c r="Z41" s="83"/>
      <c r="AA41" s="5"/>
      <c r="AB41" s="47" t="s">
        <v>98</v>
      </c>
      <c r="AC41" s="56">
        <f>A24</f>
        <v>0</v>
      </c>
      <c r="AD41" s="56">
        <f>J24</f>
        <v>0</v>
      </c>
      <c r="AE41" s="56">
        <f>S24</f>
        <v>0</v>
      </c>
      <c r="AF41" s="56">
        <f>AB24</f>
        <v>0</v>
      </c>
      <c r="AG41" s="56">
        <f>A53</f>
        <v>0</v>
      </c>
      <c r="AH41" s="56">
        <f>J53</f>
        <v>0</v>
      </c>
      <c r="AI41" s="56">
        <f>S53</f>
        <v>0</v>
      </c>
    </row>
    <row r="42">
      <c r="A42" s="44" t="s">
        <v>44</v>
      </c>
      <c r="B42" s="40" t="s">
        <v>45</v>
      </c>
      <c r="C42" s="83"/>
      <c r="D42" s="83"/>
      <c r="E42" s="83"/>
      <c r="F42" s="83"/>
      <c r="G42" s="83"/>
      <c r="H42" s="83"/>
      <c r="I42" s="5"/>
      <c r="J42" s="44" t="s">
        <v>44</v>
      </c>
      <c r="K42" s="40" t="s">
        <v>45</v>
      </c>
      <c r="L42" s="83"/>
      <c r="M42" s="83"/>
      <c r="N42" s="83"/>
      <c r="O42" s="83"/>
      <c r="P42" s="83"/>
      <c r="Q42" s="83"/>
      <c r="R42" s="5"/>
      <c r="S42" s="44" t="s">
        <v>44</v>
      </c>
      <c r="T42" s="40" t="s">
        <v>45</v>
      </c>
      <c r="U42" s="83"/>
      <c r="V42" s="83"/>
      <c r="W42" s="83"/>
      <c r="X42" s="83"/>
      <c r="Y42" s="83"/>
      <c r="Z42" s="83"/>
      <c r="AA42" s="5"/>
      <c r="AB42" s="80"/>
      <c r="AC42" s="58" t="s">
        <v>86</v>
      </c>
      <c r="AD42" s="59"/>
      <c r="AE42" s="60">
        <f>SUM(AC41:AI41)</f>
        <v>0</v>
      </c>
      <c r="AF42" s="61" t="s">
        <v>87</v>
      </c>
      <c r="AG42" s="62"/>
      <c r="AH42" s="56">
        <f>AVERAGE(AC41:AI41)</f>
        <v>0</v>
      </c>
      <c r="AI42" s="82"/>
    </row>
    <row r="43">
      <c r="A43" s="38"/>
      <c r="B43" s="34" t="s">
        <v>47</v>
      </c>
      <c r="C43" s="83"/>
      <c r="D43" s="83"/>
      <c r="E43" s="83"/>
      <c r="F43" s="83"/>
      <c r="G43" s="83"/>
      <c r="H43" s="83"/>
      <c r="I43" s="5"/>
      <c r="J43" s="38"/>
      <c r="K43" s="34" t="s">
        <v>47</v>
      </c>
      <c r="L43" s="83"/>
      <c r="M43" s="83"/>
      <c r="N43" s="83"/>
      <c r="O43" s="83"/>
      <c r="P43" s="83"/>
      <c r="Q43" s="83"/>
      <c r="R43" s="5"/>
      <c r="S43" s="38"/>
      <c r="T43" s="34" t="s">
        <v>47</v>
      </c>
      <c r="U43" s="83"/>
      <c r="V43" s="83"/>
      <c r="W43" s="83"/>
      <c r="X43" s="83"/>
      <c r="Y43" s="83"/>
      <c r="Z43" s="83"/>
      <c r="AA43" s="5"/>
      <c r="AB43" s="5"/>
      <c r="AC43" s="5"/>
      <c r="AD43" s="5"/>
      <c r="AE43" s="5"/>
      <c r="AF43" s="5"/>
      <c r="AG43" s="5"/>
      <c r="AH43" s="5"/>
      <c r="AI43" s="51"/>
    </row>
    <row r="44">
      <c r="A44" s="39"/>
      <c r="B44" s="40" t="s">
        <v>22</v>
      </c>
      <c r="C44" s="83"/>
      <c r="D44" s="83"/>
      <c r="E44" s="83"/>
      <c r="F44" s="83"/>
      <c r="G44" s="83"/>
      <c r="H44" s="83"/>
      <c r="I44" s="5"/>
      <c r="J44" s="39"/>
      <c r="K44" s="40" t="s">
        <v>22</v>
      </c>
      <c r="L44" s="83"/>
      <c r="M44" s="83"/>
      <c r="N44" s="83"/>
      <c r="O44" s="83"/>
      <c r="P44" s="83"/>
      <c r="Q44" s="83"/>
      <c r="R44" s="5"/>
      <c r="S44" s="39"/>
      <c r="T44" s="40" t="s">
        <v>22</v>
      </c>
      <c r="U44" s="83"/>
      <c r="V44" s="83"/>
      <c r="W44" s="83"/>
      <c r="X44" s="83"/>
      <c r="Y44" s="83"/>
      <c r="Z44" s="83"/>
      <c r="AA44" s="5"/>
      <c r="AB44" s="5"/>
      <c r="AC44" s="5"/>
      <c r="AD44" s="5"/>
      <c r="AE44" s="5"/>
      <c r="AF44" s="5"/>
      <c r="AG44" s="5"/>
      <c r="AH44" s="5"/>
      <c r="AI44" s="51"/>
    </row>
    <row r="45">
      <c r="A45" s="41">
        <f>COUNTIF(C34:H57,"=3")/6</f>
        <v>0</v>
      </c>
      <c r="B45" s="40" t="s">
        <v>50</v>
      </c>
      <c r="C45" s="83"/>
      <c r="D45" s="83"/>
      <c r="E45" s="83"/>
      <c r="F45" s="83"/>
      <c r="G45" s="83"/>
      <c r="H45" s="83"/>
      <c r="I45" s="5"/>
      <c r="J45" s="41">
        <f>COUNTIF(L34:Q57,"=3")/6</f>
        <v>0</v>
      </c>
      <c r="K45" s="40" t="s">
        <v>50</v>
      </c>
      <c r="L45" s="83"/>
      <c r="M45" s="83"/>
      <c r="N45" s="83"/>
      <c r="O45" s="83"/>
      <c r="P45" s="83"/>
      <c r="Q45" s="83"/>
      <c r="R45" s="5"/>
      <c r="S45" s="41">
        <f>COUNTIF(U34:Z57,"=3")/6</f>
        <v>0</v>
      </c>
      <c r="T45" s="40" t="s">
        <v>50</v>
      </c>
      <c r="U45" s="83"/>
      <c r="V45" s="83"/>
      <c r="W45" s="83"/>
      <c r="X45" s="83"/>
      <c r="Y45" s="83"/>
      <c r="Z45" s="83"/>
      <c r="AA45" s="5"/>
      <c r="AB45" s="5"/>
      <c r="AC45" s="5"/>
      <c r="AD45" s="5"/>
      <c r="AE45" s="5"/>
      <c r="AF45" s="5"/>
      <c r="AG45" s="5"/>
      <c r="AH45" s="5"/>
      <c r="AI45" s="51"/>
    </row>
    <row r="46">
      <c r="A46" s="45" t="s">
        <v>51</v>
      </c>
      <c r="B46" s="40" t="s">
        <v>52</v>
      </c>
      <c r="C46" s="83"/>
      <c r="D46" s="83"/>
      <c r="E46" s="83"/>
      <c r="F46" s="83"/>
      <c r="G46" s="83"/>
      <c r="H46" s="83"/>
      <c r="I46" s="5"/>
      <c r="J46" s="45" t="s">
        <v>51</v>
      </c>
      <c r="K46" s="40" t="s">
        <v>52</v>
      </c>
      <c r="L46" s="83"/>
      <c r="M46" s="83"/>
      <c r="N46" s="83"/>
      <c r="O46" s="83"/>
      <c r="P46" s="83"/>
      <c r="Q46" s="83"/>
      <c r="R46" s="5"/>
      <c r="S46" s="45" t="s">
        <v>51</v>
      </c>
      <c r="T46" s="40" t="s">
        <v>52</v>
      </c>
      <c r="U46" s="83"/>
      <c r="V46" s="83"/>
      <c r="W46" s="83"/>
      <c r="X46" s="83"/>
      <c r="Y46" s="83"/>
      <c r="Z46" s="83"/>
      <c r="AA46" s="5"/>
      <c r="AB46" s="5"/>
      <c r="AC46" s="5"/>
      <c r="AD46" s="5"/>
      <c r="AE46" s="5"/>
      <c r="AF46" s="5"/>
      <c r="AG46" s="5"/>
      <c r="AH46" s="5"/>
      <c r="AI46" s="51"/>
    </row>
    <row r="47">
      <c r="A47" s="38"/>
      <c r="B47" s="34" t="s">
        <v>54</v>
      </c>
      <c r="C47" s="83"/>
      <c r="D47" s="83"/>
      <c r="E47" s="83"/>
      <c r="F47" s="83"/>
      <c r="G47" s="83"/>
      <c r="H47" s="83"/>
      <c r="I47" s="5"/>
      <c r="J47" s="38"/>
      <c r="K47" s="34" t="s">
        <v>54</v>
      </c>
      <c r="L47" s="83"/>
      <c r="M47" s="83"/>
      <c r="N47" s="83"/>
      <c r="O47" s="83"/>
      <c r="P47" s="83"/>
      <c r="Q47" s="83"/>
      <c r="R47" s="5"/>
      <c r="S47" s="38"/>
      <c r="T47" s="34" t="s">
        <v>54</v>
      </c>
      <c r="U47" s="83"/>
      <c r="V47" s="83"/>
      <c r="W47" s="83"/>
      <c r="X47" s="83"/>
      <c r="Y47" s="83"/>
      <c r="Z47" s="83"/>
      <c r="AA47" s="5"/>
      <c r="AB47" s="5"/>
      <c r="AC47" s="5"/>
      <c r="AD47" s="5"/>
      <c r="AE47" s="5"/>
      <c r="AF47" s="5"/>
      <c r="AG47" s="5"/>
      <c r="AH47" s="5"/>
      <c r="AI47" s="51"/>
    </row>
    <row r="48">
      <c r="A48" s="46"/>
      <c r="B48" s="40" t="s">
        <v>58</v>
      </c>
      <c r="C48" s="83"/>
      <c r="D48" s="83"/>
      <c r="E48" s="83"/>
      <c r="F48" s="83"/>
      <c r="G48" s="83"/>
      <c r="H48" s="83"/>
      <c r="I48" s="5"/>
      <c r="J48" s="46"/>
      <c r="K48" s="40" t="s">
        <v>58</v>
      </c>
      <c r="L48" s="83"/>
      <c r="M48" s="83"/>
      <c r="N48" s="83"/>
      <c r="O48" s="83"/>
      <c r="P48" s="83"/>
      <c r="Q48" s="83"/>
      <c r="R48" s="5"/>
      <c r="S48" s="46"/>
      <c r="T48" s="40" t="s">
        <v>58</v>
      </c>
      <c r="U48" s="83"/>
      <c r="V48" s="83"/>
      <c r="W48" s="83"/>
      <c r="X48" s="83"/>
      <c r="Y48" s="83"/>
      <c r="Z48" s="83"/>
      <c r="AA48" s="5"/>
      <c r="AB48" s="5"/>
      <c r="AC48" s="5"/>
      <c r="AD48" s="5"/>
      <c r="AE48" s="5"/>
      <c r="AF48" s="5"/>
      <c r="AG48" s="5"/>
      <c r="AH48" s="5"/>
      <c r="AI48" s="51"/>
    </row>
    <row r="49">
      <c r="A49" s="41">
        <f>COUNTIF(C34:H57,"=4")/6</f>
        <v>0</v>
      </c>
      <c r="B49" s="40" t="s">
        <v>59</v>
      </c>
      <c r="C49" s="83"/>
      <c r="D49" s="83"/>
      <c r="E49" s="83"/>
      <c r="F49" s="83"/>
      <c r="G49" s="83"/>
      <c r="H49" s="83"/>
      <c r="I49" s="5"/>
      <c r="J49" s="41">
        <f>COUNTIF(L34:Q57,"=4")/6</f>
        <v>0</v>
      </c>
      <c r="K49" s="40" t="s">
        <v>59</v>
      </c>
      <c r="L49" s="83"/>
      <c r="M49" s="83"/>
      <c r="N49" s="83"/>
      <c r="O49" s="83"/>
      <c r="P49" s="83"/>
      <c r="Q49" s="83"/>
      <c r="R49" s="5"/>
      <c r="S49" s="41">
        <f>COUNTIF(U34:Z57,"=4")/6</f>
        <v>0</v>
      </c>
      <c r="T49" s="40" t="s">
        <v>59</v>
      </c>
      <c r="U49" s="83"/>
      <c r="V49" s="83"/>
      <c r="W49" s="83"/>
      <c r="X49" s="83"/>
      <c r="Y49" s="83"/>
      <c r="Z49" s="83"/>
      <c r="AA49" s="5"/>
      <c r="AB49" s="5"/>
      <c r="AC49" s="5"/>
      <c r="AD49" s="5"/>
      <c r="AE49" s="5"/>
      <c r="AF49" s="5"/>
      <c r="AG49" s="5"/>
      <c r="AH49" s="5"/>
      <c r="AI49" s="51"/>
    </row>
    <row r="50">
      <c r="A50" s="47" t="s">
        <v>60</v>
      </c>
      <c r="B50" s="40" t="s">
        <v>61</v>
      </c>
      <c r="C50" s="83"/>
      <c r="D50" s="83"/>
      <c r="E50" s="83"/>
      <c r="F50" s="83"/>
      <c r="G50" s="83"/>
      <c r="H50" s="83"/>
      <c r="I50" s="5"/>
      <c r="J50" s="47" t="s">
        <v>60</v>
      </c>
      <c r="K50" s="40" t="s">
        <v>61</v>
      </c>
      <c r="L50" s="83"/>
      <c r="M50" s="83"/>
      <c r="N50" s="83"/>
      <c r="O50" s="83"/>
      <c r="P50" s="83"/>
      <c r="Q50" s="83"/>
      <c r="R50" s="5"/>
      <c r="S50" s="47" t="s">
        <v>60</v>
      </c>
      <c r="T50" s="40" t="s">
        <v>61</v>
      </c>
      <c r="U50" s="83"/>
      <c r="V50" s="83"/>
      <c r="W50" s="83"/>
      <c r="X50" s="83"/>
      <c r="Y50" s="83"/>
      <c r="Z50" s="83"/>
      <c r="AA50" s="5"/>
      <c r="AB50" s="5"/>
      <c r="AC50" s="5"/>
      <c r="AD50" s="5"/>
      <c r="AE50" s="5"/>
      <c r="AF50" s="5"/>
      <c r="AG50" s="5"/>
      <c r="AH50" s="5"/>
      <c r="AI50" s="51"/>
    </row>
    <row r="51">
      <c r="A51" s="38"/>
      <c r="B51" s="34" t="s">
        <v>63</v>
      </c>
      <c r="C51" s="83"/>
      <c r="D51" s="83"/>
      <c r="E51" s="83"/>
      <c r="F51" s="83"/>
      <c r="G51" s="83"/>
      <c r="H51" s="83"/>
      <c r="I51" s="5"/>
      <c r="J51" s="38"/>
      <c r="K51" s="34" t="s">
        <v>63</v>
      </c>
      <c r="L51" s="83"/>
      <c r="M51" s="83"/>
      <c r="N51" s="83"/>
      <c r="O51" s="83"/>
      <c r="P51" s="83"/>
      <c r="Q51" s="83"/>
      <c r="R51" s="5"/>
      <c r="S51" s="38"/>
      <c r="T51" s="34" t="s">
        <v>63</v>
      </c>
      <c r="U51" s="83"/>
      <c r="V51" s="83"/>
      <c r="W51" s="83"/>
      <c r="X51" s="83"/>
      <c r="Y51" s="83"/>
      <c r="Z51" s="83"/>
      <c r="AA51" s="5"/>
      <c r="AB51" s="5"/>
      <c r="AC51" s="5"/>
      <c r="AD51" s="5"/>
      <c r="AE51" s="5"/>
      <c r="AF51" s="5"/>
      <c r="AG51" s="5"/>
      <c r="AH51" s="5"/>
      <c r="AI51" s="51"/>
    </row>
    <row r="52">
      <c r="A52" s="46"/>
      <c r="B52" s="40" t="s">
        <v>67</v>
      </c>
      <c r="C52" s="83"/>
      <c r="D52" s="83"/>
      <c r="E52" s="83"/>
      <c r="F52" s="83"/>
      <c r="G52" s="83"/>
      <c r="H52" s="83"/>
      <c r="I52" s="5"/>
      <c r="J52" s="46"/>
      <c r="K52" s="40" t="s">
        <v>67</v>
      </c>
      <c r="L52" s="83"/>
      <c r="M52" s="83"/>
      <c r="N52" s="83"/>
      <c r="O52" s="83"/>
      <c r="P52" s="83"/>
      <c r="Q52" s="83"/>
      <c r="R52" s="5"/>
      <c r="S52" s="46"/>
      <c r="T52" s="40" t="s">
        <v>67</v>
      </c>
      <c r="U52" s="83"/>
      <c r="V52" s="83"/>
      <c r="W52" s="83"/>
      <c r="X52" s="83"/>
      <c r="Y52" s="83"/>
      <c r="Z52" s="83"/>
      <c r="AA52" s="5"/>
      <c r="AB52" s="5"/>
      <c r="AC52" s="5"/>
      <c r="AD52" s="5"/>
      <c r="AE52" s="5"/>
      <c r="AF52" s="5"/>
      <c r="AG52" s="5"/>
      <c r="AH52" s="5"/>
      <c r="AI52" s="51"/>
    </row>
    <row r="53">
      <c r="A53" s="41">
        <f>COUNTIF(C34:H57,"=5")/6</f>
        <v>0</v>
      </c>
      <c r="B53" s="40" t="s">
        <v>68</v>
      </c>
      <c r="C53" s="83"/>
      <c r="D53" s="83"/>
      <c r="E53" s="83"/>
      <c r="F53" s="83"/>
      <c r="G53" s="83"/>
      <c r="H53" s="83"/>
      <c r="I53" s="5"/>
      <c r="J53" s="41">
        <f>COUNTIF(L34:Q57,"=5")/6</f>
        <v>0</v>
      </c>
      <c r="K53" s="40" t="s">
        <v>68</v>
      </c>
      <c r="L53" s="83"/>
      <c r="M53" s="83"/>
      <c r="N53" s="83"/>
      <c r="O53" s="83"/>
      <c r="P53" s="83"/>
      <c r="Q53" s="83"/>
      <c r="R53" s="5"/>
      <c r="S53" s="41">
        <f>COUNTIF(U34:Z57,"=5")/6</f>
        <v>0</v>
      </c>
      <c r="T53" s="40" t="s">
        <v>68</v>
      </c>
      <c r="U53" s="83"/>
      <c r="V53" s="83"/>
      <c r="W53" s="83"/>
      <c r="X53" s="83"/>
      <c r="Y53" s="83"/>
      <c r="Z53" s="83"/>
      <c r="AA53" s="5"/>
      <c r="AB53" s="5"/>
      <c r="AC53" s="5"/>
      <c r="AD53" s="5"/>
      <c r="AE53" s="5"/>
      <c r="AF53" s="5"/>
      <c r="AG53" s="5"/>
      <c r="AH53" s="5"/>
      <c r="AI53" s="51"/>
    </row>
    <row r="54">
      <c r="A54" s="48" t="s">
        <v>69</v>
      </c>
      <c r="B54" s="40" t="s">
        <v>23</v>
      </c>
      <c r="C54" s="83"/>
      <c r="D54" s="83"/>
      <c r="E54" s="83"/>
      <c r="F54" s="83"/>
      <c r="G54" s="83"/>
      <c r="H54" s="83"/>
      <c r="I54" s="5"/>
      <c r="J54" s="48" t="s">
        <v>69</v>
      </c>
      <c r="K54" s="40" t="s">
        <v>23</v>
      </c>
      <c r="L54" s="83"/>
      <c r="M54" s="83"/>
      <c r="N54" s="83"/>
      <c r="O54" s="83"/>
      <c r="P54" s="83"/>
      <c r="Q54" s="83"/>
      <c r="R54" s="5"/>
      <c r="S54" s="48" t="s">
        <v>69</v>
      </c>
      <c r="T54" s="40" t="s">
        <v>23</v>
      </c>
      <c r="U54" s="83"/>
      <c r="V54" s="83"/>
      <c r="W54" s="83"/>
      <c r="X54" s="83"/>
      <c r="Y54" s="83"/>
      <c r="Z54" s="83"/>
      <c r="AA54" s="5"/>
      <c r="AB54" s="5"/>
      <c r="AC54" s="5"/>
      <c r="AD54" s="5"/>
      <c r="AE54" s="5"/>
      <c r="AF54" s="5"/>
      <c r="AG54" s="5"/>
      <c r="AH54" s="5"/>
      <c r="AI54" s="51"/>
    </row>
    <row r="55">
      <c r="A55" s="46"/>
      <c r="B55" s="34" t="s">
        <v>70</v>
      </c>
      <c r="C55" s="83"/>
      <c r="D55" s="83"/>
      <c r="E55" s="83"/>
      <c r="F55" s="83"/>
      <c r="G55" s="83"/>
      <c r="H55" s="83"/>
      <c r="I55" s="5"/>
      <c r="J55" s="46"/>
      <c r="K55" s="34" t="s">
        <v>70</v>
      </c>
      <c r="L55" s="83"/>
      <c r="M55" s="83"/>
      <c r="N55" s="83"/>
      <c r="O55" s="83"/>
      <c r="P55" s="83"/>
      <c r="Q55" s="83"/>
      <c r="R55" s="5"/>
      <c r="S55" s="46"/>
      <c r="T55" s="34" t="s">
        <v>70</v>
      </c>
      <c r="U55" s="83"/>
      <c r="V55" s="83"/>
      <c r="W55" s="83"/>
      <c r="X55" s="83"/>
      <c r="Y55" s="83"/>
      <c r="Z55" s="83"/>
      <c r="AA55" s="5"/>
      <c r="AB55" s="5"/>
      <c r="AC55" s="5"/>
      <c r="AD55" s="5"/>
      <c r="AE55" s="5"/>
      <c r="AF55" s="5"/>
      <c r="AG55" s="5"/>
      <c r="AH55" s="5"/>
      <c r="AI55" s="51"/>
    </row>
    <row r="56">
      <c r="A56" s="39"/>
      <c r="B56" s="34" t="s">
        <v>72</v>
      </c>
      <c r="C56" s="83"/>
      <c r="D56" s="83"/>
      <c r="E56" s="83"/>
      <c r="F56" s="83"/>
      <c r="G56" s="83"/>
      <c r="H56" s="83"/>
      <c r="I56" s="5"/>
      <c r="J56" s="39"/>
      <c r="K56" s="34" t="s">
        <v>72</v>
      </c>
      <c r="L56" s="83"/>
      <c r="M56" s="83"/>
      <c r="N56" s="83"/>
      <c r="O56" s="83"/>
      <c r="P56" s="83"/>
      <c r="Q56" s="83"/>
      <c r="R56" s="5"/>
      <c r="S56" s="39"/>
      <c r="T56" s="34" t="s">
        <v>72</v>
      </c>
      <c r="U56" s="83"/>
      <c r="V56" s="83"/>
      <c r="W56" s="83"/>
      <c r="X56" s="83"/>
      <c r="Y56" s="83"/>
      <c r="Z56" s="83"/>
      <c r="AA56" s="5"/>
      <c r="AB56" s="5"/>
      <c r="AC56" s="5"/>
      <c r="AD56" s="5"/>
      <c r="AE56" s="5"/>
      <c r="AF56" s="5"/>
      <c r="AG56" s="5"/>
      <c r="AH56" s="5"/>
      <c r="AI56" s="51"/>
    </row>
    <row r="57">
      <c r="A57" s="49"/>
      <c r="B57" s="34" t="s">
        <v>73</v>
      </c>
      <c r="C57" s="83"/>
      <c r="D57" s="83"/>
      <c r="E57" s="83"/>
      <c r="F57" s="83"/>
      <c r="G57" s="83"/>
      <c r="H57" s="83"/>
      <c r="I57" s="5"/>
      <c r="J57" s="49"/>
      <c r="K57" s="34" t="s">
        <v>73</v>
      </c>
      <c r="L57" s="83"/>
      <c r="M57" s="83"/>
      <c r="N57" s="83"/>
      <c r="O57" s="83"/>
      <c r="P57" s="83"/>
      <c r="Q57" s="83"/>
      <c r="R57" s="5"/>
      <c r="S57" s="49"/>
      <c r="T57" s="34" t="s">
        <v>73</v>
      </c>
      <c r="U57" s="83"/>
      <c r="V57" s="83"/>
      <c r="W57" s="83"/>
      <c r="X57" s="83"/>
      <c r="Y57" s="83"/>
      <c r="Z57" s="83"/>
      <c r="AA57" s="5"/>
      <c r="AB57" s="5"/>
      <c r="AC57" s="5"/>
      <c r="AD57" s="5"/>
      <c r="AE57" s="5"/>
      <c r="AF57" s="5"/>
      <c r="AG57" s="5"/>
      <c r="AH57" s="5"/>
      <c r="AI57" s="51"/>
    </row>
    <row r="58">
      <c r="A58" s="50">
        <f>SUM(A37,A41,A45,A49,A53)</f>
        <v>0</v>
      </c>
      <c r="B58" s="5"/>
      <c r="C58" s="5"/>
      <c r="D58" s="5"/>
      <c r="E58" s="5"/>
      <c r="F58" s="5"/>
      <c r="G58" s="5"/>
      <c r="H58" s="5"/>
      <c r="I58" s="5"/>
      <c r="J58" s="50">
        <f>SUM(J37,J41,J45,J49,J53)</f>
        <v>0</v>
      </c>
      <c r="K58" s="5"/>
      <c r="L58" s="5"/>
      <c r="M58" s="5"/>
      <c r="N58" s="5"/>
      <c r="O58" s="5"/>
      <c r="P58" s="5"/>
      <c r="Q58" s="5"/>
      <c r="R58" s="5"/>
      <c r="S58" s="50">
        <f>SUM(S37,S41,S45,S49,S53)</f>
        <v>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1"/>
    </row>
    <row r="59">
      <c r="A59" s="86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2"/>
    </row>
    <row r="60">
      <c r="A60" s="90" t="s">
        <v>118</v>
      </c>
      <c r="B60" s="91"/>
      <c r="C60" s="91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4"/>
    </row>
    <row r="61">
      <c r="A61" s="53"/>
      <c r="B61" s="5"/>
      <c r="C61" s="5"/>
      <c r="D61" s="5"/>
      <c r="E61" s="5"/>
      <c r="F61" s="5"/>
      <c r="G61" s="5"/>
      <c r="H61" s="5"/>
      <c r="I61" s="5"/>
      <c r="J61" s="95"/>
      <c r="K61" s="5"/>
      <c r="L61" s="5"/>
      <c r="M61" s="5"/>
      <c r="N61" s="5"/>
      <c r="O61" s="5"/>
      <c r="P61" s="5"/>
      <c r="Q61" s="5"/>
      <c r="R61" s="5"/>
      <c r="S61" s="37"/>
      <c r="T61" s="5"/>
      <c r="U61" s="5"/>
      <c r="V61" s="5"/>
      <c r="W61" s="5"/>
      <c r="X61" s="5"/>
      <c r="Y61" s="5"/>
      <c r="Z61" s="5"/>
      <c r="AA61" s="5"/>
      <c r="AB61" s="37"/>
      <c r="AC61" s="5"/>
      <c r="AD61" s="5"/>
      <c r="AE61" s="5"/>
      <c r="AF61" s="5"/>
      <c r="AG61" s="5"/>
      <c r="AH61" s="5"/>
      <c r="AI61" s="51"/>
    </row>
    <row r="62">
      <c r="A62" s="54" t="s">
        <v>99</v>
      </c>
      <c r="B62" s="24" t="s">
        <v>16</v>
      </c>
      <c r="C62" s="25"/>
      <c r="D62" s="26">
        <v>1.0</v>
      </c>
      <c r="E62" s="27">
        <v>2.0</v>
      </c>
      <c r="F62" s="28">
        <v>3.0</v>
      </c>
      <c r="G62" s="29">
        <v>4.0</v>
      </c>
      <c r="H62" s="30">
        <v>5.0</v>
      </c>
      <c r="I62" s="5"/>
      <c r="J62" s="54" t="s">
        <v>102</v>
      </c>
      <c r="K62" s="24" t="s">
        <v>16</v>
      </c>
      <c r="L62" s="25"/>
      <c r="M62" s="26">
        <v>1.0</v>
      </c>
      <c r="N62" s="27">
        <v>2.0</v>
      </c>
      <c r="O62" s="28">
        <v>3.0</v>
      </c>
      <c r="P62" s="29">
        <v>4.0</v>
      </c>
      <c r="Q62" s="30">
        <v>5.0</v>
      </c>
      <c r="R62" s="5"/>
      <c r="S62" s="54" t="s">
        <v>103</v>
      </c>
      <c r="T62" s="24" t="s">
        <v>16</v>
      </c>
      <c r="U62" s="25"/>
      <c r="V62" s="26">
        <v>1.0</v>
      </c>
      <c r="W62" s="27">
        <v>2.0</v>
      </c>
      <c r="X62" s="28">
        <v>3.0</v>
      </c>
      <c r="Y62" s="29">
        <v>4.0</v>
      </c>
      <c r="Z62" s="30">
        <v>5.0</v>
      </c>
      <c r="AA62" s="5"/>
      <c r="AB62" s="54" t="s">
        <v>104</v>
      </c>
      <c r="AC62" s="24" t="s">
        <v>16</v>
      </c>
      <c r="AD62" s="25"/>
      <c r="AE62" s="26">
        <v>1.0</v>
      </c>
      <c r="AF62" s="27">
        <v>2.0</v>
      </c>
      <c r="AG62" s="28">
        <v>3.0</v>
      </c>
      <c r="AH62" s="29">
        <v>4.0</v>
      </c>
      <c r="AI62" s="30">
        <v>5.0</v>
      </c>
    </row>
    <row r="63">
      <c r="A63" s="31" t="s">
        <v>20</v>
      </c>
      <c r="B63" s="32" t="s">
        <v>21</v>
      </c>
      <c r="C63" s="32" t="s">
        <v>22</v>
      </c>
      <c r="D63" s="32" t="s">
        <v>23</v>
      </c>
      <c r="E63" s="32" t="s">
        <v>24</v>
      </c>
      <c r="F63" s="32" t="s">
        <v>25</v>
      </c>
      <c r="G63" s="32" t="s">
        <v>26</v>
      </c>
      <c r="H63" s="32" t="s">
        <v>27</v>
      </c>
      <c r="I63" s="5"/>
      <c r="J63" s="31" t="s">
        <v>20</v>
      </c>
      <c r="K63" s="32" t="s">
        <v>21</v>
      </c>
      <c r="L63" s="32" t="s">
        <v>22</v>
      </c>
      <c r="M63" s="32" t="s">
        <v>23</v>
      </c>
      <c r="N63" s="32" t="s">
        <v>24</v>
      </c>
      <c r="O63" s="32" t="s">
        <v>25</v>
      </c>
      <c r="P63" s="32" t="s">
        <v>26</v>
      </c>
      <c r="Q63" s="32" t="s">
        <v>27</v>
      </c>
      <c r="R63" s="5"/>
      <c r="S63" s="31" t="s">
        <v>20</v>
      </c>
      <c r="T63" s="32" t="s">
        <v>21</v>
      </c>
      <c r="U63" s="32" t="s">
        <v>22</v>
      </c>
      <c r="V63" s="32" t="s">
        <v>23</v>
      </c>
      <c r="W63" s="32" t="s">
        <v>24</v>
      </c>
      <c r="X63" s="32" t="s">
        <v>25</v>
      </c>
      <c r="Y63" s="32" t="s">
        <v>26</v>
      </c>
      <c r="Z63" s="32" t="s">
        <v>27</v>
      </c>
      <c r="AA63" s="5"/>
      <c r="AB63" s="31" t="s">
        <v>20</v>
      </c>
      <c r="AC63" s="32" t="s">
        <v>21</v>
      </c>
      <c r="AD63" s="32" t="s">
        <v>22</v>
      </c>
      <c r="AE63" s="32" t="s">
        <v>23</v>
      </c>
      <c r="AF63" s="32" t="s">
        <v>24</v>
      </c>
      <c r="AG63" s="32" t="s">
        <v>25</v>
      </c>
      <c r="AH63" s="32" t="s">
        <v>26</v>
      </c>
      <c r="AI63" s="32" t="s">
        <v>27</v>
      </c>
    </row>
    <row r="64">
      <c r="A64" s="33" t="s">
        <v>28</v>
      </c>
      <c r="B64" s="34" t="s">
        <v>21</v>
      </c>
      <c r="C64" s="83"/>
      <c r="D64" s="83"/>
      <c r="E64" s="83"/>
      <c r="F64" s="83"/>
      <c r="G64" s="83"/>
      <c r="H64" s="83"/>
      <c r="I64" s="5"/>
      <c r="J64" s="33" t="s">
        <v>28</v>
      </c>
      <c r="K64" s="34" t="s">
        <v>21</v>
      </c>
      <c r="L64" s="83"/>
      <c r="M64" s="83"/>
      <c r="N64" s="83"/>
      <c r="O64" s="83"/>
      <c r="P64" s="83"/>
      <c r="Q64" s="83"/>
      <c r="R64" s="5"/>
      <c r="S64" s="35" t="s">
        <v>28</v>
      </c>
      <c r="T64" s="34" t="s">
        <v>21</v>
      </c>
      <c r="U64" s="83"/>
      <c r="V64" s="83"/>
      <c r="W64" s="83"/>
      <c r="X64" s="83"/>
      <c r="Y64" s="83"/>
      <c r="Z64" s="83"/>
      <c r="AA64" s="5"/>
      <c r="AB64" s="35" t="s">
        <v>28</v>
      </c>
      <c r="AC64" s="34" t="s">
        <v>21</v>
      </c>
      <c r="AD64" s="83"/>
      <c r="AE64" s="83"/>
      <c r="AF64" s="83"/>
      <c r="AG64" s="83"/>
      <c r="AH64" s="83"/>
      <c r="AI64" s="83"/>
    </row>
    <row r="65">
      <c r="A65" s="38"/>
      <c r="B65" s="34" t="s">
        <v>30</v>
      </c>
      <c r="C65" s="83"/>
      <c r="D65" s="83"/>
      <c r="E65" s="83"/>
      <c r="F65" s="83"/>
      <c r="G65" s="83"/>
      <c r="H65" s="83"/>
      <c r="I65" s="37" t="s">
        <v>31</v>
      </c>
      <c r="J65" s="38"/>
      <c r="K65" s="34" t="s">
        <v>30</v>
      </c>
      <c r="L65" s="83"/>
      <c r="M65" s="83"/>
      <c r="N65" s="83"/>
      <c r="O65" s="83"/>
      <c r="P65" s="83"/>
      <c r="Q65" s="83"/>
      <c r="R65" s="5"/>
      <c r="S65" s="38"/>
      <c r="T65" s="34" t="s">
        <v>30</v>
      </c>
      <c r="U65" s="83"/>
      <c r="V65" s="83"/>
      <c r="W65" s="83"/>
      <c r="X65" s="83"/>
      <c r="Y65" s="83"/>
      <c r="Z65" s="83"/>
      <c r="AA65" s="5"/>
      <c r="AB65" s="38"/>
      <c r="AC65" s="34" t="s">
        <v>30</v>
      </c>
      <c r="AD65" s="83"/>
      <c r="AE65" s="83"/>
      <c r="AF65" s="83"/>
      <c r="AG65" s="83"/>
      <c r="AH65" s="83"/>
      <c r="AI65" s="83"/>
    </row>
    <row r="66">
      <c r="A66" s="39"/>
      <c r="B66" s="40" t="s">
        <v>33</v>
      </c>
      <c r="C66" s="83"/>
      <c r="D66" s="83"/>
      <c r="E66" s="83"/>
      <c r="F66" s="83"/>
      <c r="G66" s="83"/>
      <c r="H66" s="83"/>
      <c r="I66" s="5"/>
      <c r="J66" s="39"/>
      <c r="K66" s="40" t="s">
        <v>33</v>
      </c>
      <c r="L66" s="83"/>
      <c r="M66" s="83"/>
      <c r="N66" s="83"/>
      <c r="O66" s="83"/>
      <c r="P66" s="83"/>
      <c r="Q66" s="83"/>
      <c r="R66" s="5"/>
      <c r="S66" s="39"/>
      <c r="T66" s="40" t="s">
        <v>33</v>
      </c>
      <c r="U66" s="83"/>
      <c r="V66" s="83"/>
      <c r="W66" s="83"/>
      <c r="X66" s="83"/>
      <c r="Y66" s="83"/>
      <c r="Z66" s="83"/>
      <c r="AA66" s="5"/>
      <c r="AB66" s="39"/>
      <c r="AC66" s="40" t="s">
        <v>33</v>
      </c>
      <c r="AD66" s="83"/>
      <c r="AE66" s="83"/>
      <c r="AF66" s="83"/>
      <c r="AG66" s="83"/>
      <c r="AH66" s="83"/>
      <c r="AI66" s="83"/>
    </row>
    <row r="67">
      <c r="A67" s="41">
        <f>COUNTIF(C64:H87,"=1")/6</f>
        <v>0</v>
      </c>
      <c r="B67" s="40" t="s">
        <v>34</v>
      </c>
      <c r="C67" s="83"/>
      <c r="D67" s="83"/>
      <c r="E67" s="83"/>
      <c r="F67" s="83"/>
      <c r="G67" s="83"/>
      <c r="H67" s="83"/>
      <c r="I67" s="5"/>
      <c r="J67" s="41">
        <f>COUNTIF(L64:Q87,"=1")/6</f>
        <v>0</v>
      </c>
      <c r="K67" s="40" t="s">
        <v>34</v>
      </c>
      <c r="L67" s="83"/>
      <c r="M67" s="83"/>
      <c r="N67" s="83"/>
      <c r="O67" s="83"/>
      <c r="P67" s="83"/>
      <c r="Q67" s="83"/>
      <c r="R67" s="5"/>
      <c r="S67" s="41">
        <f>COUNTIF(U64:Z87,"=1")/6</f>
        <v>0</v>
      </c>
      <c r="T67" s="40" t="s">
        <v>34</v>
      </c>
      <c r="U67" s="83"/>
      <c r="V67" s="83"/>
      <c r="W67" s="83"/>
      <c r="X67" s="83"/>
      <c r="Y67" s="83"/>
      <c r="Z67" s="83"/>
      <c r="AA67" s="5"/>
      <c r="AB67" s="41">
        <f>COUNTIF(AD64:AI87,"=1")/6</f>
        <v>0</v>
      </c>
      <c r="AC67" s="40" t="s">
        <v>34</v>
      </c>
      <c r="AD67" s="83"/>
      <c r="AE67" s="83"/>
      <c r="AF67" s="83"/>
      <c r="AG67" s="83"/>
      <c r="AH67" s="83"/>
      <c r="AI67" s="83"/>
    </row>
    <row r="68">
      <c r="A68" s="42" t="s">
        <v>35</v>
      </c>
      <c r="B68" s="40" t="s">
        <v>36</v>
      </c>
      <c r="C68" s="83"/>
      <c r="D68" s="83"/>
      <c r="E68" s="83"/>
      <c r="F68" s="83"/>
      <c r="G68" s="83"/>
      <c r="H68" s="83"/>
      <c r="I68" s="5"/>
      <c r="J68" s="42" t="s">
        <v>35</v>
      </c>
      <c r="K68" s="40" t="s">
        <v>36</v>
      </c>
      <c r="L68" s="83"/>
      <c r="M68" s="83"/>
      <c r="N68" s="83"/>
      <c r="O68" s="83"/>
      <c r="P68" s="83"/>
      <c r="Q68" s="83"/>
      <c r="R68" s="5"/>
      <c r="S68" s="42" t="s">
        <v>35</v>
      </c>
      <c r="T68" s="40" t="s">
        <v>36</v>
      </c>
      <c r="U68" s="83"/>
      <c r="V68" s="83"/>
      <c r="W68" s="83"/>
      <c r="X68" s="83"/>
      <c r="Y68" s="83"/>
      <c r="Z68" s="83"/>
      <c r="AA68" s="5"/>
      <c r="AB68" s="42" t="s">
        <v>35</v>
      </c>
      <c r="AC68" s="40" t="s">
        <v>36</v>
      </c>
      <c r="AD68" s="83"/>
      <c r="AE68" s="83"/>
      <c r="AF68" s="83"/>
      <c r="AG68" s="83"/>
      <c r="AH68" s="83"/>
      <c r="AI68" s="83"/>
    </row>
    <row r="69">
      <c r="A69" s="68"/>
      <c r="B69" s="34" t="s">
        <v>38</v>
      </c>
      <c r="C69" s="83"/>
      <c r="D69" s="83"/>
      <c r="E69" s="83"/>
      <c r="F69" s="83"/>
      <c r="G69" s="85"/>
      <c r="H69" s="83"/>
      <c r="I69" s="5"/>
      <c r="J69" s="68"/>
      <c r="K69" s="34" t="s">
        <v>38</v>
      </c>
      <c r="L69" s="83"/>
      <c r="M69" s="83"/>
      <c r="N69" s="83"/>
      <c r="O69" s="83"/>
      <c r="P69" s="85"/>
      <c r="Q69" s="83"/>
      <c r="R69" s="5"/>
      <c r="S69" s="68"/>
      <c r="T69" s="34" t="s">
        <v>38</v>
      </c>
      <c r="U69" s="83"/>
      <c r="V69" s="83"/>
      <c r="W69" s="83"/>
      <c r="X69" s="83"/>
      <c r="Y69" s="85"/>
      <c r="Z69" s="83"/>
      <c r="AA69" s="5"/>
      <c r="AB69" s="68"/>
      <c r="AC69" s="34" t="s">
        <v>38</v>
      </c>
      <c r="AD69" s="83"/>
      <c r="AE69" s="83"/>
      <c r="AF69" s="83"/>
      <c r="AG69" s="83"/>
      <c r="AH69" s="85"/>
      <c r="AI69" s="83"/>
    </row>
    <row r="70">
      <c r="A70" s="39"/>
      <c r="B70" s="40" t="s">
        <v>42</v>
      </c>
      <c r="C70" s="83"/>
      <c r="D70" s="83"/>
      <c r="E70" s="83"/>
      <c r="F70" s="83"/>
      <c r="G70" s="83"/>
      <c r="H70" s="83"/>
      <c r="I70" s="5"/>
      <c r="J70" s="39"/>
      <c r="K70" s="40" t="s">
        <v>42</v>
      </c>
      <c r="L70" s="83"/>
      <c r="M70" s="83"/>
      <c r="N70" s="83"/>
      <c r="O70" s="83"/>
      <c r="P70" s="83"/>
      <c r="Q70" s="83"/>
      <c r="R70" s="5"/>
      <c r="S70" s="39"/>
      <c r="T70" s="40" t="s">
        <v>42</v>
      </c>
      <c r="U70" s="83"/>
      <c r="V70" s="83"/>
      <c r="W70" s="83"/>
      <c r="X70" s="83"/>
      <c r="Y70" s="83"/>
      <c r="Z70" s="83"/>
      <c r="AA70" s="5"/>
      <c r="AB70" s="39"/>
      <c r="AC70" s="40" t="s">
        <v>42</v>
      </c>
      <c r="AD70" s="83"/>
      <c r="AE70" s="83"/>
      <c r="AF70" s="83"/>
      <c r="AG70" s="83"/>
      <c r="AH70" s="83"/>
      <c r="AI70" s="83"/>
    </row>
    <row r="71">
      <c r="A71" s="41">
        <f>COUNTIF(C64:H87,"=2")/6</f>
        <v>0</v>
      </c>
      <c r="B71" s="40" t="s">
        <v>43</v>
      </c>
      <c r="C71" s="83"/>
      <c r="D71" s="83"/>
      <c r="E71" s="83"/>
      <c r="F71" s="83"/>
      <c r="G71" s="83"/>
      <c r="H71" s="83"/>
      <c r="I71" s="5"/>
      <c r="J71" s="41">
        <f>COUNTIF(L64:Q87,"=2")/6</f>
        <v>0</v>
      </c>
      <c r="K71" s="40" t="s">
        <v>43</v>
      </c>
      <c r="L71" s="83"/>
      <c r="M71" s="83"/>
      <c r="N71" s="83"/>
      <c r="O71" s="83"/>
      <c r="P71" s="83"/>
      <c r="Q71" s="83"/>
      <c r="R71" s="5"/>
      <c r="S71" s="41">
        <f>COUNTIF(U64:Z87,"=2")/6</f>
        <v>0</v>
      </c>
      <c r="T71" s="40" t="s">
        <v>43</v>
      </c>
      <c r="U71" s="83"/>
      <c r="V71" s="83"/>
      <c r="W71" s="83"/>
      <c r="X71" s="83"/>
      <c r="Y71" s="83"/>
      <c r="Z71" s="83"/>
      <c r="AA71" s="5"/>
      <c r="AB71" s="41">
        <f>COUNTIF(AD64:AI87,"=2")/6</f>
        <v>0</v>
      </c>
      <c r="AC71" s="40" t="s">
        <v>43</v>
      </c>
      <c r="AD71" s="83"/>
      <c r="AE71" s="83"/>
      <c r="AF71" s="83"/>
      <c r="AG71" s="83"/>
      <c r="AH71" s="83"/>
      <c r="AI71" s="83"/>
    </row>
    <row r="72">
      <c r="A72" s="44" t="s">
        <v>44</v>
      </c>
      <c r="B72" s="40" t="s">
        <v>45</v>
      </c>
      <c r="C72" s="83"/>
      <c r="D72" s="83"/>
      <c r="E72" s="83"/>
      <c r="F72" s="83"/>
      <c r="G72" s="83"/>
      <c r="H72" s="83"/>
      <c r="I72" s="5"/>
      <c r="J72" s="44" t="s">
        <v>44</v>
      </c>
      <c r="K72" s="40" t="s">
        <v>45</v>
      </c>
      <c r="L72" s="83"/>
      <c r="M72" s="83"/>
      <c r="N72" s="83"/>
      <c r="O72" s="83"/>
      <c r="P72" s="83"/>
      <c r="Q72" s="83"/>
      <c r="R72" s="5"/>
      <c r="S72" s="44" t="s">
        <v>44</v>
      </c>
      <c r="T72" s="40" t="s">
        <v>45</v>
      </c>
      <c r="U72" s="83"/>
      <c r="V72" s="83"/>
      <c r="W72" s="83"/>
      <c r="X72" s="83"/>
      <c r="Y72" s="83"/>
      <c r="Z72" s="83"/>
      <c r="AA72" s="5"/>
      <c r="AB72" s="44" t="s">
        <v>44</v>
      </c>
      <c r="AC72" s="40" t="s">
        <v>45</v>
      </c>
      <c r="AD72" s="83"/>
      <c r="AE72" s="83"/>
      <c r="AF72" s="83"/>
      <c r="AG72" s="83"/>
      <c r="AH72" s="83"/>
      <c r="AI72" s="83"/>
    </row>
    <row r="73">
      <c r="A73" s="38"/>
      <c r="B73" s="34" t="s">
        <v>47</v>
      </c>
      <c r="C73" s="83"/>
      <c r="D73" s="83"/>
      <c r="E73" s="83"/>
      <c r="F73" s="83"/>
      <c r="G73" s="83"/>
      <c r="H73" s="83"/>
      <c r="I73" s="5"/>
      <c r="J73" s="38"/>
      <c r="K73" s="34" t="s">
        <v>47</v>
      </c>
      <c r="L73" s="83"/>
      <c r="M73" s="83"/>
      <c r="N73" s="83"/>
      <c r="O73" s="83"/>
      <c r="P73" s="83"/>
      <c r="Q73" s="83"/>
      <c r="R73" s="5"/>
      <c r="S73" s="38"/>
      <c r="T73" s="34" t="s">
        <v>47</v>
      </c>
      <c r="U73" s="83"/>
      <c r="V73" s="83"/>
      <c r="W73" s="83"/>
      <c r="X73" s="83"/>
      <c r="Y73" s="83"/>
      <c r="Z73" s="83"/>
      <c r="AA73" s="5"/>
      <c r="AB73" s="38"/>
      <c r="AC73" s="34" t="s">
        <v>47</v>
      </c>
      <c r="AD73" s="83"/>
      <c r="AE73" s="83"/>
      <c r="AF73" s="83"/>
      <c r="AG73" s="83"/>
      <c r="AH73" s="83"/>
      <c r="AI73" s="83"/>
    </row>
    <row r="74">
      <c r="A74" s="39"/>
      <c r="B74" s="40" t="s">
        <v>22</v>
      </c>
      <c r="C74" s="83"/>
      <c r="D74" s="83"/>
      <c r="E74" s="83"/>
      <c r="F74" s="83"/>
      <c r="G74" s="83"/>
      <c r="H74" s="83"/>
      <c r="I74" s="5"/>
      <c r="J74" s="39"/>
      <c r="K74" s="40" t="s">
        <v>22</v>
      </c>
      <c r="L74" s="83"/>
      <c r="M74" s="83"/>
      <c r="N74" s="83"/>
      <c r="O74" s="83"/>
      <c r="P74" s="83"/>
      <c r="Q74" s="83"/>
      <c r="R74" s="5"/>
      <c r="S74" s="39"/>
      <c r="T74" s="40" t="s">
        <v>22</v>
      </c>
      <c r="U74" s="83"/>
      <c r="V74" s="83"/>
      <c r="W74" s="83"/>
      <c r="X74" s="83"/>
      <c r="Y74" s="83"/>
      <c r="Z74" s="83"/>
      <c r="AA74" s="5"/>
      <c r="AB74" s="39"/>
      <c r="AC74" s="40" t="s">
        <v>22</v>
      </c>
      <c r="AD74" s="83"/>
      <c r="AE74" s="83"/>
      <c r="AF74" s="83"/>
      <c r="AG74" s="83"/>
      <c r="AH74" s="83"/>
      <c r="AI74" s="83"/>
    </row>
    <row r="75">
      <c r="A75" s="41">
        <f>COUNTIF(C64:H87,"=3")/6</f>
        <v>0</v>
      </c>
      <c r="B75" s="40" t="s">
        <v>50</v>
      </c>
      <c r="C75" s="83"/>
      <c r="D75" s="83"/>
      <c r="E75" s="83"/>
      <c r="F75" s="83"/>
      <c r="G75" s="83"/>
      <c r="H75" s="83"/>
      <c r="I75" s="5"/>
      <c r="J75" s="41">
        <f>COUNTIF(L64:Q87,"=3")/6</f>
        <v>0</v>
      </c>
      <c r="K75" s="40" t="s">
        <v>50</v>
      </c>
      <c r="L75" s="83"/>
      <c r="M75" s="83"/>
      <c r="N75" s="83"/>
      <c r="O75" s="83"/>
      <c r="P75" s="83"/>
      <c r="Q75" s="83"/>
      <c r="R75" s="5"/>
      <c r="S75" s="41">
        <f>COUNTIF(U64:Z87,"=3")/6</f>
        <v>0</v>
      </c>
      <c r="T75" s="40" t="s">
        <v>50</v>
      </c>
      <c r="U75" s="83"/>
      <c r="V75" s="83"/>
      <c r="W75" s="83"/>
      <c r="X75" s="83"/>
      <c r="Y75" s="83"/>
      <c r="Z75" s="83"/>
      <c r="AA75" s="5"/>
      <c r="AB75" s="41">
        <f>COUNTIF(AD64:AI87,"=3")/6</f>
        <v>0</v>
      </c>
      <c r="AC75" s="40" t="s">
        <v>50</v>
      </c>
      <c r="AD75" s="83"/>
      <c r="AE75" s="83"/>
      <c r="AF75" s="83"/>
      <c r="AG75" s="83"/>
      <c r="AH75" s="83"/>
      <c r="AI75" s="83"/>
    </row>
    <row r="76">
      <c r="A76" s="45" t="s">
        <v>51</v>
      </c>
      <c r="B76" s="40" t="s">
        <v>52</v>
      </c>
      <c r="C76" s="83"/>
      <c r="D76" s="83"/>
      <c r="E76" s="83"/>
      <c r="F76" s="83"/>
      <c r="G76" s="83"/>
      <c r="H76" s="83"/>
      <c r="I76" s="5"/>
      <c r="J76" s="45" t="s">
        <v>51</v>
      </c>
      <c r="K76" s="40" t="s">
        <v>52</v>
      </c>
      <c r="L76" s="83"/>
      <c r="M76" s="83"/>
      <c r="N76" s="83"/>
      <c r="O76" s="83"/>
      <c r="P76" s="83"/>
      <c r="Q76" s="83"/>
      <c r="R76" s="5"/>
      <c r="S76" s="45" t="s">
        <v>51</v>
      </c>
      <c r="T76" s="40" t="s">
        <v>52</v>
      </c>
      <c r="U76" s="83"/>
      <c r="V76" s="83"/>
      <c r="W76" s="83"/>
      <c r="X76" s="83"/>
      <c r="Y76" s="83"/>
      <c r="Z76" s="83"/>
      <c r="AA76" s="5"/>
      <c r="AB76" s="45" t="s">
        <v>51</v>
      </c>
      <c r="AC76" s="40" t="s">
        <v>52</v>
      </c>
      <c r="AD76" s="83"/>
      <c r="AE76" s="83"/>
      <c r="AF76" s="83"/>
      <c r="AG76" s="83"/>
      <c r="AH76" s="83"/>
      <c r="AI76" s="83"/>
    </row>
    <row r="77">
      <c r="A77" s="38"/>
      <c r="B77" s="34" t="s">
        <v>54</v>
      </c>
      <c r="C77" s="83"/>
      <c r="D77" s="83"/>
      <c r="E77" s="83"/>
      <c r="F77" s="83"/>
      <c r="G77" s="83"/>
      <c r="H77" s="83"/>
      <c r="I77" s="5"/>
      <c r="J77" s="38"/>
      <c r="K77" s="34" t="s">
        <v>54</v>
      </c>
      <c r="L77" s="83"/>
      <c r="M77" s="83"/>
      <c r="N77" s="83"/>
      <c r="O77" s="83"/>
      <c r="P77" s="83"/>
      <c r="Q77" s="83"/>
      <c r="R77" s="5"/>
      <c r="S77" s="38"/>
      <c r="T77" s="34" t="s">
        <v>54</v>
      </c>
      <c r="U77" s="83"/>
      <c r="V77" s="83"/>
      <c r="W77" s="83"/>
      <c r="X77" s="83"/>
      <c r="Y77" s="83"/>
      <c r="Z77" s="83"/>
      <c r="AA77" s="5"/>
      <c r="AB77" s="38"/>
      <c r="AC77" s="34" t="s">
        <v>54</v>
      </c>
      <c r="AD77" s="83"/>
      <c r="AE77" s="83"/>
      <c r="AF77" s="83"/>
      <c r="AG77" s="83"/>
      <c r="AH77" s="83"/>
      <c r="AI77" s="83"/>
    </row>
    <row r="78">
      <c r="A78" s="46"/>
      <c r="B78" s="40" t="s">
        <v>58</v>
      </c>
      <c r="C78" s="83"/>
      <c r="D78" s="83"/>
      <c r="E78" s="83"/>
      <c r="F78" s="83"/>
      <c r="G78" s="83"/>
      <c r="H78" s="83"/>
      <c r="I78" s="5"/>
      <c r="J78" s="46"/>
      <c r="K78" s="40" t="s">
        <v>58</v>
      </c>
      <c r="L78" s="83"/>
      <c r="M78" s="83"/>
      <c r="N78" s="83"/>
      <c r="O78" s="83"/>
      <c r="P78" s="83"/>
      <c r="Q78" s="83"/>
      <c r="R78" s="5"/>
      <c r="S78" s="46"/>
      <c r="T78" s="40" t="s">
        <v>58</v>
      </c>
      <c r="U78" s="83"/>
      <c r="V78" s="83"/>
      <c r="W78" s="83"/>
      <c r="X78" s="83"/>
      <c r="Y78" s="83"/>
      <c r="Z78" s="83"/>
      <c r="AA78" s="5"/>
      <c r="AB78" s="46"/>
      <c r="AC78" s="40" t="s">
        <v>58</v>
      </c>
      <c r="AD78" s="83"/>
      <c r="AE78" s="83"/>
      <c r="AF78" s="83"/>
      <c r="AG78" s="83"/>
      <c r="AH78" s="83"/>
      <c r="AI78" s="83"/>
    </row>
    <row r="79">
      <c r="A79" s="41">
        <f>COUNTIF(C64:H87,"=4")/6</f>
        <v>0</v>
      </c>
      <c r="B79" s="40" t="s">
        <v>59</v>
      </c>
      <c r="C79" s="83"/>
      <c r="D79" s="83"/>
      <c r="E79" s="83"/>
      <c r="F79" s="83"/>
      <c r="G79" s="83"/>
      <c r="H79" s="83"/>
      <c r="I79" s="5"/>
      <c r="J79" s="41">
        <f>COUNTIF(L64:Q87,"=4")/6</f>
        <v>0</v>
      </c>
      <c r="K79" s="40" t="s">
        <v>59</v>
      </c>
      <c r="L79" s="83"/>
      <c r="M79" s="83"/>
      <c r="N79" s="83"/>
      <c r="O79" s="83"/>
      <c r="P79" s="83"/>
      <c r="Q79" s="83"/>
      <c r="R79" s="5"/>
      <c r="S79" s="41">
        <f>COUNTIF(U64:Z87,"=4")/6</f>
        <v>0</v>
      </c>
      <c r="T79" s="40" t="s">
        <v>59</v>
      </c>
      <c r="U79" s="83"/>
      <c r="V79" s="83"/>
      <c r="W79" s="83"/>
      <c r="X79" s="83"/>
      <c r="Y79" s="83"/>
      <c r="Z79" s="83"/>
      <c r="AA79" s="5"/>
      <c r="AB79" s="41">
        <f>COUNTIF(AD64:AI87,"=4")/6</f>
        <v>0</v>
      </c>
      <c r="AC79" s="40" t="s">
        <v>59</v>
      </c>
      <c r="AD79" s="83"/>
      <c r="AE79" s="83"/>
      <c r="AF79" s="83"/>
      <c r="AG79" s="83"/>
      <c r="AH79" s="83"/>
      <c r="AI79" s="83"/>
    </row>
    <row r="80">
      <c r="A80" s="47" t="s">
        <v>60</v>
      </c>
      <c r="B80" s="40" t="s">
        <v>61</v>
      </c>
      <c r="C80" s="83"/>
      <c r="D80" s="83"/>
      <c r="E80" s="83"/>
      <c r="F80" s="83"/>
      <c r="G80" s="83"/>
      <c r="H80" s="83"/>
      <c r="I80" s="5"/>
      <c r="J80" s="47" t="s">
        <v>60</v>
      </c>
      <c r="K80" s="40" t="s">
        <v>61</v>
      </c>
      <c r="L80" s="83"/>
      <c r="M80" s="83"/>
      <c r="N80" s="83"/>
      <c r="O80" s="83"/>
      <c r="P80" s="83"/>
      <c r="Q80" s="83"/>
      <c r="R80" s="5"/>
      <c r="S80" s="47" t="s">
        <v>60</v>
      </c>
      <c r="T80" s="40" t="s">
        <v>61</v>
      </c>
      <c r="U80" s="83"/>
      <c r="V80" s="83"/>
      <c r="W80" s="83"/>
      <c r="X80" s="83"/>
      <c r="Y80" s="83"/>
      <c r="Z80" s="83"/>
      <c r="AA80" s="5"/>
      <c r="AB80" s="47" t="s">
        <v>60</v>
      </c>
      <c r="AC80" s="40" t="s">
        <v>61</v>
      </c>
      <c r="AD80" s="83"/>
      <c r="AE80" s="83"/>
      <c r="AF80" s="83"/>
      <c r="AG80" s="83"/>
      <c r="AH80" s="83"/>
      <c r="AI80" s="83"/>
    </row>
    <row r="81">
      <c r="A81" s="38"/>
      <c r="B81" s="34" t="s">
        <v>63</v>
      </c>
      <c r="C81" s="83"/>
      <c r="D81" s="83"/>
      <c r="E81" s="83"/>
      <c r="F81" s="83"/>
      <c r="G81" s="83"/>
      <c r="H81" s="83"/>
      <c r="I81" s="5"/>
      <c r="J81" s="38"/>
      <c r="K81" s="34" t="s">
        <v>63</v>
      </c>
      <c r="L81" s="83"/>
      <c r="M81" s="83"/>
      <c r="N81" s="83"/>
      <c r="O81" s="83"/>
      <c r="P81" s="83"/>
      <c r="Q81" s="83"/>
      <c r="R81" s="5"/>
      <c r="S81" s="38"/>
      <c r="T81" s="34" t="s">
        <v>63</v>
      </c>
      <c r="U81" s="83"/>
      <c r="V81" s="83"/>
      <c r="W81" s="83"/>
      <c r="X81" s="83"/>
      <c r="Y81" s="83"/>
      <c r="Z81" s="83"/>
      <c r="AA81" s="5"/>
      <c r="AB81" s="38"/>
      <c r="AC81" s="34" t="s">
        <v>63</v>
      </c>
      <c r="AD81" s="83"/>
      <c r="AE81" s="83"/>
      <c r="AF81" s="83"/>
      <c r="AG81" s="83"/>
      <c r="AH81" s="83"/>
      <c r="AI81" s="83"/>
    </row>
    <row r="82">
      <c r="A82" s="46"/>
      <c r="B82" s="40" t="s">
        <v>67</v>
      </c>
      <c r="C82" s="83"/>
      <c r="D82" s="83"/>
      <c r="E82" s="83"/>
      <c r="F82" s="83"/>
      <c r="G82" s="83"/>
      <c r="H82" s="83"/>
      <c r="I82" s="5"/>
      <c r="J82" s="46"/>
      <c r="K82" s="40" t="s">
        <v>67</v>
      </c>
      <c r="L82" s="83"/>
      <c r="M82" s="83"/>
      <c r="N82" s="83"/>
      <c r="O82" s="83"/>
      <c r="P82" s="83"/>
      <c r="Q82" s="83"/>
      <c r="R82" s="5"/>
      <c r="S82" s="46"/>
      <c r="T82" s="40" t="s">
        <v>67</v>
      </c>
      <c r="U82" s="83"/>
      <c r="V82" s="83"/>
      <c r="W82" s="83"/>
      <c r="X82" s="83"/>
      <c r="Y82" s="83"/>
      <c r="Z82" s="83"/>
      <c r="AA82" s="5"/>
      <c r="AB82" s="46"/>
      <c r="AC82" s="40" t="s">
        <v>67</v>
      </c>
      <c r="AD82" s="83"/>
      <c r="AE82" s="83"/>
      <c r="AF82" s="83"/>
      <c r="AG82" s="83"/>
      <c r="AH82" s="83"/>
      <c r="AI82" s="83"/>
    </row>
    <row r="83">
      <c r="A83" s="41">
        <f>COUNTIF(C64:H87,"=5")/6</f>
        <v>0</v>
      </c>
      <c r="B83" s="40" t="s">
        <v>68</v>
      </c>
      <c r="C83" s="83"/>
      <c r="D83" s="83"/>
      <c r="E83" s="83"/>
      <c r="F83" s="83"/>
      <c r="G83" s="83"/>
      <c r="H83" s="83"/>
      <c r="I83" s="5"/>
      <c r="J83" s="41">
        <f>COUNTIF(L64:Q87,"=5")/6</f>
        <v>0</v>
      </c>
      <c r="K83" s="40" t="s">
        <v>68</v>
      </c>
      <c r="L83" s="83"/>
      <c r="M83" s="83"/>
      <c r="N83" s="83"/>
      <c r="O83" s="83"/>
      <c r="P83" s="83"/>
      <c r="Q83" s="83"/>
      <c r="R83" s="5"/>
      <c r="S83" s="41">
        <f>COUNTIF(U64:Z87,"=5")/6</f>
        <v>0</v>
      </c>
      <c r="T83" s="40" t="s">
        <v>68</v>
      </c>
      <c r="U83" s="83"/>
      <c r="V83" s="83"/>
      <c r="W83" s="83"/>
      <c r="X83" s="83"/>
      <c r="Y83" s="83"/>
      <c r="Z83" s="83"/>
      <c r="AA83" s="5"/>
      <c r="AB83" s="41">
        <f>COUNTIF(AD64:AI87,"=5")/6</f>
        <v>0</v>
      </c>
      <c r="AC83" s="40" t="s">
        <v>68</v>
      </c>
      <c r="AD83" s="83"/>
      <c r="AE83" s="83"/>
      <c r="AF83" s="83"/>
      <c r="AG83" s="83"/>
      <c r="AH83" s="83"/>
      <c r="AI83" s="83"/>
    </row>
    <row r="84">
      <c r="A84" s="48" t="s">
        <v>69</v>
      </c>
      <c r="B84" s="40" t="s">
        <v>23</v>
      </c>
      <c r="C84" s="83"/>
      <c r="D84" s="83"/>
      <c r="E84" s="83"/>
      <c r="F84" s="83"/>
      <c r="G84" s="83"/>
      <c r="H84" s="83"/>
      <c r="I84" s="5"/>
      <c r="J84" s="48" t="s">
        <v>69</v>
      </c>
      <c r="K84" s="40" t="s">
        <v>23</v>
      </c>
      <c r="L84" s="83"/>
      <c r="M84" s="83"/>
      <c r="N84" s="83"/>
      <c r="O84" s="83"/>
      <c r="P84" s="83"/>
      <c r="Q84" s="83"/>
      <c r="R84" s="5"/>
      <c r="S84" s="48" t="s">
        <v>69</v>
      </c>
      <c r="T84" s="40" t="s">
        <v>23</v>
      </c>
      <c r="U84" s="83"/>
      <c r="V84" s="83"/>
      <c r="W84" s="83"/>
      <c r="X84" s="83"/>
      <c r="Y84" s="83"/>
      <c r="Z84" s="83"/>
      <c r="AA84" s="5"/>
      <c r="AB84" s="48" t="s">
        <v>69</v>
      </c>
      <c r="AC84" s="40" t="s">
        <v>23</v>
      </c>
      <c r="AD84" s="83"/>
      <c r="AE84" s="83"/>
      <c r="AF84" s="83"/>
      <c r="AG84" s="83"/>
      <c r="AH84" s="83"/>
      <c r="AI84" s="83"/>
    </row>
    <row r="85">
      <c r="A85" s="46"/>
      <c r="B85" s="34" t="s">
        <v>70</v>
      </c>
      <c r="C85" s="83"/>
      <c r="D85" s="83"/>
      <c r="E85" s="83"/>
      <c r="F85" s="83"/>
      <c r="G85" s="83"/>
      <c r="H85" s="83"/>
      <c r="I85" s="5"/>
      <c r="J85" s="46"/>
      <c r="K85" s="34" t="s">
        <v>70</v>
      </c>
      <c r="L85" s="83"/>
      <c r="M85" s="83"/>
      <c r="N85" s="83"/>
      <c r="O85" s="83"/>
      <c r="P85" s="83"/>
      <c r="Q85" s="83"/>
      <c r="R85" s="5"/>
      <c r="S85" s="46"/>
      <c r="T85" s="34" t="s">
        <v>70</v>
      </c>
      <c r="U85" s="83"/>
      <c r="V85" s="83"/>
      <c r="W85" s="83"/>
      <c r="X85" s="83"/>
      <c r="Y85" s="83"/>
      <c r="Z85" s="83"/>
      <c r="AA85" s="5"/>
      <c r="AB85" s="46"/>
      <c r="AC85" s="34" t="s">
        <v>70</v>
      </c>
      <c r="AD85" s="83"/>
      <c r="AE85" s="83"/>
      <c r="AF85" s="83"/>
      <c r="AG85" s="83"/>
      <c r="AH85" s="83"/>
      <c r="AI85" s="83"/>
    </row>
    <row r="86">
      <c r="A86" s="39"/>
      <c r="B86" s="34" t="s">
        <v>72</v>
      </c>
      <c r="C86" s="83"/>
      <c r="D86" s="83"/>
      <c r="E86" s="83"/>
      <c r="F86" s="83"/>
      <c r="G86" s="83"/>
      <c r="H86" s="83"/>
      <c r="I86" s="5"/>
      <c r="J86" s="39"/>
      <c r="K86" s="34" t="s">
        <v>72</v>
      </c>
      <c r="L86" s="83"/>
      <c r="M86" s="83"/>
      <c r="N86" s="83"/>
      <c r="O86" s="83"/>
      <c r="P86" s="83"/>
      <c r="Q86" s="83"/>
      <c r="R86" s="5"/>
      <c r="S86" s="39"/>
      <c r="T86" s="34" t="s">
        <v>72</v>
      </c>
      <c r="U86" s="83"/>
      <c r="V86" s="83"/>
      <c r="W86" s="83"/>
      <c r="X86" s="83"/>
      <c r="Y86" s="83"/>
      <c r="Z86" s="83"/>
      <c r="AA86" s="5"/>
      <c r="AB86" s="39"/>
      <c r="AC86" s="34" t="s">
        <v>72</v>
      </c>
      <c r="AD86" s="83"/>
      <c r="AE86" s="83"/>
      <c r="AF86" s="83"/>
      <c r="AG86" s="83"/>
      <c r="AH86" s="83"/>
      <c r="AI86" s="83"/>
    </row>
    <row r="87">
      <c r="A87" s="49"/>
      <c r="B87" s="34" t="s">
        <v>73</v>
      </c>
      <c r="C87" s="83"/>
      <c r="D87" s="83"/>
      <c r="E87" s="83"/>
      <c r="F87" s="83"/>
      <c r="G87" s="83"/>
      <c r="H87" s="83"/>
      <c r="I87" s="5"/>
      <c r="J87" s="49"/>
      <c r="K87" s="34" t="s">
        <v>73</v>
      </c>
      <c r="L87" s="83"/>
      <c r="M87" s="83"/>
      <c r="N87" s="83"/>
      <c r="O87" s="83"/>
      <c r="P87" s="83"/>
      <c r="Q87" s="83"/>
      <c r="R87" s="5"/>
      <c r="S87" s="49"/>
      <c r="T87" s="34" t="s">
        <v>73</v>
      </c>
      <c r="U87" s="83"/>
      <c r="V87" s="83"/>
      <c r="W87" s="83"/>
      <c r="X87" s="83"/>
      <c r="Y87" s="83"/>
      <c r="Z87" s="83"/>
      <c r="AA87" s="5"/>
      <c r="AB87" s="49"/>
      <c r="AC87" s="34" t="s">
        <v>73</v>
      </c>
      <c r="AD87" s="83"/>
      <c r="AE87" s="83"/>
      <c r="AF87" s="83"/>
      <c r="AG87" s="83"/>
      <c r="AH87" s="83"/>
      <c r="AI87" s="83"/>
    </row>
    <row r="88">
      <c r="A88" s="50">
        <f>SUM(A67,A71,A75,A79,A83)</f>
        <v>0</v>
      </c>
      <c r="B88" s="5"/>
      <c r="C88" s="5"/>
      <c r="D88" s="5"/>
      <c r="E88" s="5"/>
      <c r="F88" s="5"/>
      <c r="G88" s="5"/>
      <c r="H88" s="5"/>
      <c r="I88" s="5"/>
      <c r="J88" s="50">
        <f>SUM(J67,J71,J75,J79,J83)</f>
        <v>0</v>
      </c>
      <c r="K88" s="5"/>
      <c r="L88" s="5"/>
      <c r="M88" s="5"/>
      <c r="N88" s="5"/>
      <c r="O88" s="5"/>
      <c r="P88" s="5"/>
      <c r="Q88" s="5"/>
      <c r="R88" s="5"/>
      <c r="S88" s="50">
        <f>SUM(S67,S71,S75,S79,S83)</f>
        <v>0</v>
      </c>
      <c r="T88" s="5"/>
      <c r="U88" s="5"/>
      <c r="V88" s="5"/>
      <c r="W88" s="5"/>
      <c r="X88" s="5"/>
      <c r="Y88" s="5"/>
      <c r="Z88" s="5"/>
      <c r="AA88" s="5"/>
      <c r="AB88" s="50">
        <f>SUM(AB67,AB71,AB75,AB79,AB83)</f>
        <v>0</v>
      </c>
      <c r="AC88" s="5"/>
      <c r="AD88" s="5"/>
      <c r="AE88" s="5"/>
      <c r="AF88" s="5"/>
      <c r="AG88" s="5"/>
      <c r="AH88" s="5"/>
      <c r="AI88" s="51"/>
    </row>
    <row r="89">
      <c r="A89" s="52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1"/>
    </row>
    <row r="90">
      <c r="A90" s="53"/>
      <c r="B90" s="5"/>
      <c r="C90" s="5"/>
      <c r="D90" s="5"/>
      <c r="E90" s="5"/>
      <c r="F90" s="5"/>
      <c r="G90" s="5"/>
      <c r="H90" s="5"/>
      <c r="I90" s="5"/>
      <c r="J90" s="37"/>
      <c r="K90" s="5"/>
      <c r="L90" s="5"/>
      <c r="M90" s="5"/>
      <c r="N90" s="5"/>
      <c r="O90" s="5"/>
      <c r="P90" s="5"/>
      <c r="Q90" s="5"/>
      <c r="R90" s="5"/>
      <c r="S90" s="37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1"/>
    </row>
    <row r="91">
      <c r="A91" s="54" t="s">
        <v>134</v>
      </c>
      <c r="B91" s="24" t="s">
        <v>16</v>
      </c>
      <c r="C91" s="25"/>
      <c r="D91" s="26">
        <v>1.0</v>
      </c>
      <c r="E91" s="27">
        <v>2.0</v>
      </c>
      <c r="F91" s="28">
        <v>3.0</v>
      </c>
      <c r="G91" s="29">
        <v>4.0</v>
      </c>
      <c r="H91" s="30">
        <v>5.0</v>
      </c>
      <c r="I91" s="5"/>
      <c r="J91" s="54" t="s">
        <v>135</v>
      </c>
      <c r="K91" s="24" t="s">
        <v>16</v>
      </c>
      <c r="L91" s="25"/>
      <c r="M91" s="26">
        <v>1.0</v>
      </c>
      <c r="N91" s="27">
        <v>2.0</v>
      </c>
      <c r="O91" s="28">
        <v>3.0</v>
      </c>
      <c r="P91" s="29">
        <v>4.0</v>
      </c>
      <c r="Q91" s="30">
        <v>5.0</v>
      </c>
      <c r="R91" s="5"/>
      <c r="S91" s="54" t="s">
        <v>136</v>
      </c>
      <c r="T91" s="24" t="s">
        <v>16</v>
      </c>
      <c r="U91" s="25"/>
      <c r="V91" s="26">
        <v>1.0</v>
      </c>
      <c r="W91" s="27">
        <v>2.0</v>
      </c>
      <c r="X91" s="28">
        <v>3.0</v>
      </c>
      <c r="Y91" s="29">
        <v>4.0</v>
      </c>
      <c r="Z91" s="30">
        <v>5.0</v>
      </c>
      <c r="AA91" s="5"/>
      <c r="AB91" s="54" t="s">
        <v>77</v>
      </c>
      <c r="AC91" s="55" t="s">
        <v>78</v>
      </c>
      <c r="AD91" s="55" t="s">
        <v>79</v>
      </c>
      <c r="AE91" s="55" t="s">
        <v>80</v>
      </c>
      <c r="AF91" s="55" t="s">
        <v>81</v>
      </c>
      <c r="AG91" s="55" t="s">
        <v>82</v>
      </c>
      <c r="AH91" s="55" t="s">
        <v>83</v>
      </c>
      <c r="AI91" s="55" t="s">
        <v>84</v>
      </c>
    </row>
    <row r="92">
      <c r="A92" s="31" t="s">
        <v>20</v>
      </c>
      <c r="B92" s="32" t="s">
        <v>21</v>
      </c>
      <c r="C92" s="32" t="s">
        <v>22</v>
      </c>
      <c r="D92" s="32" t="s">
        <v>23</v>
      </c>
      <c r="E92" s="32" t="s">
        <v>24</v>
      </c>
      <c r="F92" s="32" t="s">
        <v>25</v>
      </c>
      <c r="G92" s="32" t="s">
        <v>26</v>
      </c>
      <c r="H92" s="32" t="s">
        <v>27</v>
      </c>
      <c r="I92" s="5"/>
      <c r="J92" s="31" t="s">
        <v>20</v>
      </c>
      <c r="K92" s="32" t="s">
        <v>21</v>
      </c>
      <c r="L92" s="32" t="s">
        <v>22</v>
      </c>
      <c r="M92" s="32" t="s">
        <v>23</v>
      </c>
      <c r="N92" s="32" t="s">
        <v>24</v>
      </c>
      <c r="O92" s="32" t="s">
        <v>25</v>
      </c>
      <c r="P92" s="32" t="s">
        <v>26</v>
      </c>
      <c r="Q92" s="32" t="s">
        <v>27</v>
      </c>
      <c r="R92" s="5"/>
      <c r="S92" s="31" t="s">
        <v>20</v>
      </c>
      <c r="T92" s="32" t="s">
        <v>21</v>
      </c>
      <c r="U92" s="32" t="s">
        <v>22</v>
      </c>
      <c r="V92" s="32" t="s">
        <v>23</v>
      </c>
      <c r="W92" s="32" t="s">
        <v>24</v>
      </c>
      <c r="X92" s="32" t="s">
        <v>25</v>
      </c>
      <c r="Y92" s="32" t="s">
        <v>26</v>
      </c>
      <c r="Z92" s="32" t="s">
        <v>27</v>
      </c>
      <c r="AA92" s="5"/>
      <c r="AB92" s="33" t="s">
        <v>85</v>
      </c>
      <c r="AC92" s="56">
        <f>A67</f>
        <v>0</v>
      </c>
      <c r="AD92" s="56">
        <f>J67</f>
        <v>0</v>
      </c>
      <c r="AE92" s="56">
        <f>S67</f>
        <v>0</v>
      </c>
      <c r="AF92" s="56">
        <f>AB67</f>
        <v>0</v>
      </c>
      <c r="AG92" s="56">
        <f>A96</f>
        <v>0</v>
      </c>
      <c r="AH92" s="56">
        <f>J96</f>
        <v>0</v>
      </c>
      <c r="AI92" s="56">
        <f>S96</f>
        <v>0</v>
      </c>
    </row>
    <row r="93">
      <c r="A93" s="33" t="s">
        <v>28</v>
      </c>
      <c r="B93" s="34" t="s">
        <v>21</v>
      </c>
      <c r="C93" s="83"/>
      <c r="D93" s="83"/>
      <c r="E93" s="83"/>
      <c r="F93" s="83"/>
      <c r="G93" s="83"/>
      <c r="H93" s="83"/>
      <c r="I93" s="5"/>
      <c r="J93" s="33" t="s">
        <v>28</v>
      </c>
      <c r="K93" s="34" t="s">
        <v>21</v>
      </c>
      <c r="L93" s="83"/>
      <c r="M93" s="83"/>
      <c r="N93" s="83"/>
      <c r="O93" s="83"/>
      <c r="P93" s="83"/>
      <c r="Q93" s="83"/>
      <c r="R93" s="5"/>
      <c r="S93" s="35" t="s">
        <v>28</v>
      </c>
      <c r="T93" s="34" t="s">
        <v>21</v>
      </c>
      <c r="U93" s="83"/>
      <c r="V93" s="83"/>
      <c r="W93" s="83"/>
      <c r="X93" s="83"/>
      <c r="Y93" s="83"/>
      <c r="Z93" s="83"/>
      <c r="AA93" s="5"/>
      <c r="AB93" s="57"/>
      <c r="AC93" s="58" t="s">
        <v>86</v>
      </c>
      <c r="AD93" s="59"/>
      <c r="AE93" s="60">
        <f>SUM(AC92:AI92)</f>
        <v>0</v>
      </c>
      <c r="AF93" s="61" t="s">
        <v>87</v>
      </c>
      <c r="AG93" s="62"/>
      <c r="AH93" s="56">
        <f>AVERAGE(AC92:AI92)</f>
        <v>0</v>
      </c>
      <c r="AI93" s="51"/>
    </row>
    <row r="94">
      <c r="A94" s="38"/>
      <c r="B94" s="34" t="s">
        <v>30</v>
      </c>
      <c r="C94" s="83"/>
      <c r="D94" s="83"/>
      <c r="E94" s="83"/>
      <c r="F94" s="83"/>
      <c r="G94" s="83"/>
      <c r="H94" s="83"/>
      <c r="I94" s="37" t="s">
        <v>31</v>
      </c>
      <c r="J94" s="38"/>
      <c r="K94" s="34" t="s">
        <v>30</v>
      </c>
      <c r="L94" s="83"/>
      <c r="M94" s="83"/>
      <c r="N94" s="83"/>
      <c r="O94" s="83"/>
      <c r="P94" s="83"/>
      <c r="Q94" s="83"/>
      <c r="R94" s="5"/>
      <c r="S94" s="38"/>
      <c r="T94" s="34" t="s">
        <v>30</v>
      </c>
      <c r="U94" s="83"/>
      <c r="V94" s="83"/>
      <c r="W94" s="83"/>
      <c r="X94" s="83"/>
      <c r="Y94" s="83"/>
      <c r="Z94" s="83"/>
      <c r="AA94" s="5"/>
      <c r="AB94" s="63" t="s">
        <v>88</v>
      </c>
      <c r="AC94" s="56">
        <f>A71</f>
        <v>0</v>
      </c>
      <c r="AD94" s="56">
        <f>J71</f>
        <v>0</v>
      </c>
      <c r="AE94" s="56">
        <f>S71</f>
        <v>0</v>
      </c>
      <c r="AF94" s="56">
        <f>AB71</f>
        <v>0</v>
      </c>
      <c r="AG94" s="56">
        <f>A100</f>
        <v>0</v>
      </c>
      <c r="AH94" s="56">
        <f>J100</f>
        <v>0</v>
      </c>
      <c r="AI94" s="56">
        <f>S100</f>
        <v>0</v>
      </c>
    </row>
    <row r="95">
      <c r="A95" s="39"/>
      <c r="B95" s="40" t="s">
        <v>33</v>
      </c>
      <c r="C95" s="83"/>
      <c r="D95" s="83"/>
      <c r="E95" s="83"/>
      <c r="F95" s="83"/>
      <c r="G95" s="83"/>
      <c r="H95" s="83"/>
      <c r="I95" s="5"/>
      <c r="J95" s="39"/>
      <c r="K95" s="40" t="s">
        <v>33</v>
      </c>
      <c r="L95" s="83"/>
      <c r="M95" s="83"/>
      <c r="N95" s="83"/>
      <c r="O95" s="83"/>
      <c r="P95" s="83"/>
      <c r="Q95" s="83"/>
      <c r="R95" s="5"/>
      <c r="S95" s="39"/>
      <c r="T95" s="40" t="s">
        <v>33</v>
      </c>
      <c r="U95" s="83"/>
      <c r="V95" s="83"/>
      <c r="W95" s="83"/>
      <c r="X95" s="83"/>
      <c r="Y95" s="83"/>
      <c r="Z95" s="83"/>
      <c r="AA95" s="5"/>
      <c r="AB95" s="64"/>
      <c r="AC95" s="58" t="s">
        <v>86</v>
      </c>
      <c r="AD95" s="59"/>
      <c r="AE95" s="60">
        <f>SUM(AC94:AI94)</f>
        <v>0</v>
      </c>
      <c r="AF95" s="61" t="s">
        <v>87</v>
      </c>
      <c r="AG95" s="62"/>
      <c r="AH95" s="56">
        <f>AVERAGE(AC94:AI94)</f>
        <v>0</v>
      </c>
      <c r="AI95" s="51"/>
    </row>
    <row r="96">
      <c r="A96" s="41">
        <f>COUNTIF(C93:H116,"=1")/6</f>
        <v>0</v>
      </c>
      <c r="B96" s="40" t="s">
        <v>34</v>
      </c>
      <c r="C96" s="83"/>
      <c r="D96" s="83"/>
      <c r="E96" s="83"/>
      <c r="F96" s="83"/>
      <c r="G96" s="83"/>
      <c r="H96" s="83"/>
      <c r="I96" s="5"/>
      <c r="J96" s="41">
        <f>COUNTIF(L93:Q116,"=1")/6</f>
        <v>0</v>
      </c>
      <c r="K96" s="40" t="s">
        <v>34</v>
      </c>
      <c r="L96" s="83"/>
      <c r="M96" s="83"/>
      <c r="N96" s="83"/>
      <c r="O96" s="83"/>
      <c r="P96" s="83"/>
      <c r="Q96" s="83"/>
      <c r="R96" s="5"/>
      <c r="S96" s="41">
        <f>COUNTIF(U93:Z116,"=1")/6</f>
        <v>0</v>
      </c>
      <c r="T96" s="40" t="s">
        <v>34</v>
      </c>
      <c r="U96" s="83"/>
      <c r="V96" s="83"/>
      <c r="W96" s="83"/>
      <c r="X96" s="83"/>
      <c r="Y96" s="83"/>
      <c r="Z96" s="83"/>
      <c r="AA96" s="5"/>
      <c r="AB96" s="65" t="s">
        <v>89</v>
      </c>
      <c r="AC96" s="56">
        <f>A75</f>
        <v>0</v>
      </c>
      <c r="AD96" s="56">
        <f>J75</f>
        <v>0</v>
      </c>
      <c r="AE96" s="66" t="str">
        <f>S77</f>
        <v/>
      </c>
      <c r="AF96" s="56">
        <f>AB75</f>
        <v>0</v>
      </c>
      <c r="AG96" s="56">
        <f>A104</f>
        <v>0</v>
      </c>
      <c r="AH96" s="56">
        <f>J104</f>
        <v>0</v>
      </c>
      <c r="AI96" s="56">
        <f>S104</f>
        <v>0</v>
      </c>
    </row>
    <row r="97">
      <c r="A97" s="42" t="s">
        <v>35</v>
      </c>
      <c r="B97" s="40" t="s">
        <v>36</v>
      </c>
      <c r="C97" s="83"/>
      <c r="D97" s="83"/>
      <c r="E97" s="83"/>
      <c r="F97" s="83"/>
      <c r="G97" s="83"/>
      <c r="H97" s="83"/>
      <c r="I97" s="5"/>
      <c r="J97" s="42" t="s">
        <v>35</v>
      </c>
      <c r="K97" s="40" t="s">
        <v>36</v>
      </c>
      <c r="L97" s="83"/>
      <c r="M97" s="83"/>
      <c r="N97" s="83"/>
      <c r="O97" s="83"/>
      <c r="P97" s="83"/>
      <c r="Q97" s="83"/>
      <c r="R97" s="5"/>
      <c r="S97" s="42" t="s">
        <v>35</v>
      </c>
      <c r="T97" s="40" t="s">
        <v>36</v>
      </c>
      <c r="U97" s="83"/>
      <c r="V97" s="83"/>
      <c r="W97" s="83"/>
      <c r="X97" s="83"/>
      <c r="Y97" s="83"/>
      <c r="Z97" s="83"/>
      <c r="AA97" s="5"/>
      <c r="AB97" s="67"/>
      <c r="AC97" s="58" t="s">
        <v>86</v>
      </c>
      <c r="AD97" s="59"/>
      <c r="AE97" s="60">
        <f>SUM(AC96:AI96)</f>
        <v>0</v>
      </c>
      <c r="AF97" s="61" t="s">
        <v>87</v>
      </c>
      <c r="AG97" s="62"/>
      <c r="AH97" s="56">
        <f>AVERAGE(AC96:AI96)</f>
        <v>0</v>
      </c>
      <c r="AI97" s="51"/>
    </row>
    <row r="98">
      <c r="A98" s="68"/>
      <c r="B98" s="34" t="s">
        <v>38</v>
      </c>
      <c r="C98" s="83"/>
      <c r="D98" s="83"/>
      <c r="E98" s="83"/>
      <c r="F98" s="83"/>
      <c r="G98" s="85"/>
      <c r="H98" s="83"/>
      <c r="I98" s="5"/>
      <c r="J98" s="68"/>
      <c r="K98" s="34" t="s">
        <v>38</v>
      </c>
      <c r="L98" s="83"/>
      <c r="M98" s="83"/>
      <c r="N98" s="83"/>
      <c r="O98" s="83"/>
      <c r="P98" s="85"/>
      <c r="Q98" s="83"/>
      <c r="R98" s="5"/>
      <c r="S98" s="68"/>
      <c r="T98" s="34" t="s">
        <v>38</v>
      </c>
      <c r="U98" s="83"/>
      <c r="V98" s="83"/>
      <c r="W98" s="83"/>
      <c r="X98" s="83"/>
      <c r="Y98" s="85"/>
      <c r="Z98" s="83"/>
      <c r="AA98" s="5"/>
      <c r="AB98" s="69" t="s">
        <v>93</v>
      </c>
      <c r="AC98" s="56">
        <f>A79</f>
        <v>0</v>
      </c>
      <c r="AD98" s="56">
        <f>J79</f>
        <v>0</v>
      </c>
      <c r="AE98" s="56">
        <f>S79</f>
        <v>0</v>
      </c>
      <c r="AF98" s="56">
        <f>AB79</f>
        <v>0</v>
      </c>
      <c r="AG98" s="56">
        <f>A108</f>
        <v>0</v>
      </c>
      <c r="AH98" s="56">
        <f>J108</f>
        <v>0</v>
      </c>
      <c r="AI98" s="56">
        <f>S108</f>
        <v>0</v>
      </c>
    </row>
    <row r="99">
      <c r="A99" s="39"/>
      <c r="B99" s="40" t="s">
        <v>42</v>
      </c>
      <c r="C99" s="83"/>
      <c r="D99" s="83"/>
      <c r="E99" s="83"/>
      <c r="F99" s="83"/>
      <c r="G99" s="83"/>
      <c r="H99" s="83"/>
      <c r="I99" s="5"/>
      <c r="J99" s="39"/>
      <c r="K99" s="40" t="s">
        <v>42</v>
      </c>
      <c r="L99" s="83"/>
      <c r="M99" s="83"/>
      <c r="N99" s="83"/>
      <c r="O99" s="83"/>
      <c r="P99" s="83"/>
      <c r="Q99" s="83"/>
      <c r="R99" s="5"/>
      <c r="S99" s="39"/>
      <c r="T99" s="40" t="s">
        <v>42</v>
      </c>
      <c r="U99" s="83"/>
      <c r="V99" s="83"/>
      <c r="W99" s="83"/>
      <c r="X99" s="83"/>
      <c r="Y99" s="83"/>
      <c r="Z99" s="83"/>
      <c r="AA99" s="5"/>
      <c r="AB99" s="71"/>
      <c r="AC99" s="58" t="s">
        <v>86</v>
      </c>
      <c r="AD99" s="59"/>
      <c r="AE99" s="60">
        <f>SUM(AC98:AI98)</f>
        <v>0</v>
      </c>
      <c r="AF99" s="61" t="s">
        <v>87</v>
      </c>
      <c r="AG99" s="62"/>
      <c r="AH99" s="56">
        <f>AVERAGE(AC98:AI98)</f>
        <v>0</v>
      </c>
      <c r="AI99" s="51"/>
    </row>
    <row r="100">
      <c r="A100" s="41">
        <f>COUNTIF(C93:H116,"=2")/6</f>
        <v>0</v>
      </c>
      <c r="B100" s="40" t="s">
        <v>43</v>
      </c>
      <c r="C100" s="83"/>
      <c r="D100" s="83"/>
      <c r="E100" s="83"/>
      <c r="F100" s="83"/>
      <c r="G100" s="83"/>
      <c r="H100" s="83"/>
      <c r="I100" s="5"/>
      <c r="J100" s="41">
        <f>COUNTIF(L93:Q116,"=2")/6</f>
        <v>0</v>
      </c>
      <c r="K100" s="40" t="s">
        <v>43</v>
      </c>
      <c r="L100" s="83"/>
      <c r="M100" s="83"/>
      <c r="N100" s="83"/>
      <c r="O100" s="83"/>
      <c r="P100" s="83"/>
      <c r="Q100" s="83"/>
      <c r="R100" s="5"/>
      <c r="S100" s="41">
        <f>COUNTIF(U93:Z116,"=2")/6</f>
        <v>0</v>
      </c>
      <c r="T100" s="40" t="s">
        <v>43</v>
      </c>
      <c r="U100" s="83"/>
      <c r="V100" s="83"/>
      <c r="W100" s="83"/>
      <c r="X100" s="83"/>
      <c r="Y100" s="83"/>
      <c r="Z100" s="83"/>
      <c r="AA100" s="5"/>
      <c r="AB100" s="47" t="s">
        <v>98</v>
      </c>
      <c r="AC100" s="56">
        <f>A83</f>
        <v>0</v>
      </c>
      <c r="AD100" s="56">
        <f>J83</f>
        <v>0</v>
      </c>
      <c r="AE100" s="56">
        <f>S83</f>
        <v>0</v>
      </c>
      <c r="AF100" s="56">
        <f>AB83</f>
        <v>0</v>
      </c>
      <c r="AG100" s="56">
        <f>A112</f>
        <v>0</v>
      </c>
      <c r="AH100" s="56">
        <f>J112</f>
        <v>0</v>
      </c>
      <c r="AI100" s="56">
        <f>S112</f>
        <v>0</v>
      </c>
    </row>
    <row r="101">
      <c r="A101" s="44" t="s">
        <v>44</v>
      </c>
      <c r="B101" s="40" t="s">
        <v>45</v>
      </c>
      <c r="C101" s="83"/>
      <c r="D101" s="83"/>
      <c r="E101" s="83"/>
      <c r="F101" s="83"/>
      <c r="G101" s="83"/>
      <c r="H101" s="83"/>
      <c r="I101" s="5"/>
      <c r="J101" s="44" t="s">
        <v>44</v>
      </c>
      <c r="K101" s="40" t="s">
        <v>45</v>
      </c>
      <c r="L101" s="83"/>
      <c r="M101" s="83"/>
      <c r="N101" s="83"/>
      <c r="O101" s="83"/>
      <c r="P101" s="83"/>
      <c r="Q101" s="83"/>
      <c r="R101" s="5"/>
      <c r="S101" s="44" t="s">
        <v>44</v>
      </c>
      <c r="T101" s="40" t="s">
        <v>45</v>
      </c>
      <c r="U101" s="83"/>
      <c r="V101" s="83"/>
      <c r="W101" s="83"/>
      <c r="X101" s="83"/>
      <c r="Y101" s="83"/>
      <c r="Z101" s="83"/>
      <c r="AA101" s="5"/>
      <c r="AB101" s="80"/>
      <c r="AC101" s="58" t="s">
        <v>86</v>
      </c>
      <c r="AD101" s="59"/>
      <c r="AE101" s="60">
        <f>SUM(AC100:AI100)</f>
        <v>0</v>
      </c>
      <c r="AF101" s="61" t="s">
        <v>87</v>
      </c>
      <c r="AG101" s="62"/>
      <c r="AH101" s="56">
        <f>AVERAGE(AC100:AI100)</f>
        <v>0</v>
      </c>
      <c r="AI101" s="82"/>
    </row>
    <row r="102">
      <c r="A102" s="38"/>
      <c r="B102" s="34" t="s">
        <v>47</v>
      </c>
      <c r="C102" s="83"/>
      <c r="D102" s="83"/>
      <c r="E102" s="83"/>
      <c r="F102" s="83"/>
      <c r="G102" s="83"/>
      <c r="H102" s="83"/>
      <c r="I102" s="5"/>
      <c r="J102" s="38"/>
      <c r="K102" s="34" t="s">
        <v>47</v>
      </c>
      <c r="L102" s="83"/>
      <c r="M102" s="83"/>
      <c r="N102" s="83"/>
      <c r="O102" s="83"/>
      <c r="P102" s="83"/>
      <c r="Q102" s="83"/>
      <c r="R102" s="5"/>
      <c r="S102" s="38"/>
      <c r="T102" s="34" t="s">
        <v>47</v>
      </c>
      <c r="U102" s="83"/>
      <c r="V102" s="83"/>
      <c r="W102" s="83"/>
      <c r="X102" s="83"/>
      <c r="Y102" s="83"/>
      <c r="Z102" s="83"/>
      <c r="AA102" s="5"/>
      <c r="AB102" s="5"/>
      <c r="AC102" s="5"/>
      <c r="AD102" s="5"/>
      <c r="AE102" s="5"/>
      <c r="AF102" s="5"/>
      <c r="AG102" s="5"/>
      <c r="AH102" s="5"/>
      <c r="AI102" s="51"/>
    </row>
    <row r="103">
      <c r="A103" s="39"/>
      <c r="B103" s="40" t="s">
        <v>22</v>
      </c>
      <c r="C103" s="83"/>
      <c r="D103" s="83"/>
      <c r="E103" s="83"/>
      <c r="F103" s="83"/>
      <c r="G103" s="83"/>
      <c r="H103" s="83"/>
      <c r="I103" s="5"/>
      <c r="J103" s="39"/>
      <c r="K103" s="40" t="s">
        <v>22</v>
      </c>
      <c r="L103" s="83"/>
      <c r="M103" s="83"/>
      <c r="N103" s="83"/>
      <c r="O103" s="83"/>
      <c r="P103" s="83"/>
      <c r="Q103" s="83"/>
      <c r="R103" s="5"/>
      <c r="S103" s="39"/>
      <c r="T103" s="40" t="s">
        <v>22</v>
      </c>
      <c r="U103" s="83"/>
      <c r="V103" s="83"/>
      <c r="W103" s="83"/>
      <c r="X103" s="83"/>
      <c r="Y103" s="83"/>
      <c r="Z103" s="83"/>
      <c r="AA103" s="5"/>
      <c r="AB103" s="5"/>
      <c r="AC103" s="5"/>
      <c r="AD103" s="5"/>
      <c r="AE103" s="5"/>
      <c r="AF103" s="5"/>
      <c r="AG103" s="5"/>
      <c r="AH103" s="5"/>
      <c r="AI103" s="51"/>
    </row>
    <row r="104">
      <c r="A104" s="41">
        <f>COUNTIF(C93:H116,"=3")/6</f>
        <v>0</v>
      </c>
      <c r="B104" s="40" t="s">
        <v>50</v>
      </c>
      <c r="C104" s="83"/>
      <c r="D104" s="83"/>
      <c r="E104" s="83"/>
      <c r="F104" s="83"/>
      <c r="G104" s="83"/>
      <c r="H104" s="83"/>
      <c r="I104" s="5"/>
      <c r="J104" s="41">
        <f>COUNTIF(L93:Q116,"=3")/6</f>
        <v>0</v>
      </c>
      <c r="K104" s="40" t="s">
        <v>50</v>
      </c>
      <c r="L104" s="83"/>
      <c r="M104" s="83"/>
      <c r="N104" s="83"/>
      <c r="O104" s="83"/>
      <c r="P104" s="83"/>
      <c r="Q104" s="83"/>
      <c r="R104" s="5"/>
      <c r="S104" s="41">
        <f>COUNTIF(U93:Z116,"=3")/6</f>
        <v>0</v>
      </c>
      <c r="T104" s="40" t="s">
        <v>50</v>
      </c>
      <c r="U104" s="83"/>
      <c r="V104" s="83"/>
      <c r="W104" s="83"/>
      <c r="X104" s="83"/>
      <c r="Y104" s="83"/>
      <c r="Z104" s="83"/>
      <c r="AA104" s="5"/>
      <c r="AB104" s="5"/>
      <c r="AC104" s="5"/>
      <c r="AD104" s="5"/>
      <c r="AE104" s="5"/>
      <c r="AF104" s="5"/>
      <c r="AG104" s="5"/>
      <c r="AH104" s="5"/>
      <c r="AI104" s="51"/>
    </row>
    <row r="105">
      <c r="A105" s="45" t="s">
        <v>51</v>
      </c>
      <c r="B105" s="40" t="s">
        <v>52</v>
      </c>
      <c r="C105" s="83"/>
      <c r="D105" s="83"/>
      <c r="E105" s="83"/>
      <c r="F105" s="83"/>
      <c r="G105" s="83"/>
      <c r="H105" s="83"/>
      <c r="I105" s="5"/>
      <c r="J105" s="45" t="s">
        <v>51</v>
      </c>
      <c r="K105" s="40" t="s">
        <v>52</v>
      </c>
      <c r="L105" s="83"/>
      <c r="M105" s="83"/>
      <c r="N105" s="83"/>
      <c r="O105" s="83"/>
      <c r="P105" s="83"/>
      <c r="Q105" s="83"/>
      <c r="R105" s="5"/>
      <c r="S105" s="45" t="s">
        <v>51</v>
      </c>
      <c r="T105" s="40" t="s">
        <v>52</v>
      </c>
      <c r="U105" s="83"/>
      <c r="V105" s="83"/>
      <c r="W105" s="83"/>
      <c r="X105" s="83"/>
      <c r="Y105" s="83"/>
      <c r="Z105" s="83"/>
      <c r="AA105" s="5"/>
      <c r="AB105" s="5"/>
      <c r="AC105" s="5"/>
      <c r="AD105" s="5"/>
      <c r="AE105" s="5"/>
      <c r="AF105" s="5"/>
      <c r="AG105" s="5"/>
      <c r="AH105" s="5"/>
      <c r="AI105" s="51"/>
    </row>
    <row r="106">
      <c r="A106" s="38"/>
      <c r="B106" s="34" t="s">
        <v>54</v>
      </c>
      <c r="C106" s="83"/>
      <c r="D106" s="83"/>
      <c r="E106" s="83"/>
      <c r="F106" s="83"/>
      <c r="G106" s="83"/>
      <c r="H106" s="83"/>
      <c r="I106" s="5"/>
      <c r="J106" s="38"/>
      <c r="K106" s="34" t="s">
        <v>54</v>
      </c>
      <c r="L106" s="83"/>
      <c r="M106" s="83"/>
      <c r="N106" s="83"/>
      <c r="O106" s="83"/>
      <c r="P106" s="83"/>
      <c r="Q106" s="83"/>
      <c r="R106" s="5"/>
      <c r="S106" s="38"/>
      <c r="T106" s="34" t="s">
        <v>54</v>
      </c>
      <c r="U106" s="83"/>
      <c r="V106" s="83"/>
      <c r="W106" s="83"/>
      <c r="X106" s="83"/>
      <c r="Y106" s="83"/>
      <c r="Z106" s="83"/>
      <c r="AA106" s="5"/>
      <c r="AB106" s="5"/>
      <c r="AC106" s="5"/>
      <c r="AD106" s="5"/>
      <c r="AE106" s="5"/>
      <c r="AF106" s="5"/>
      <c r="AG106" s="5"/>
      <c r="AH106" s="5"/>
      <c r="AI106" s="51"/>
    </row>
    <row r="107">
      <c r="A107" s="46"/>
      <c r="B107" s="40" t="s">
        <v>58</v>
      </c>
      <c r="C107" s="83"/>
      <c r="D107" s="83"/>
      <c r="E107" s="83"/>
      <c r="F107" s="83"/>
      <c r="G107" s="83"/>
      <c r="H107" s="83"/>
      <c r="I107" s="5"/>
      <c r="J107" s="46"/>
      <c r="K107" s="40" t="s">
        <v>58</v>
      </c>
      <c r="L107" s="83"/>
      <c r="M107" s="83"/>
      <c r="N107" s="83"/>
      <c r="O107" s="83"/>
      <c r="P107" s="83"/>
      <c r="Q107" s="83"/>
      <c r="R107" s="5"/>
      <c r="S107" s="46"/>
      <c r="T107" s="40" t="s">
        <v>58</v>
      </c>
      <c r="U107" s="83"/>
      <c r="V107" s="83"/>
      <c r="W107" s="83"/>
      <c r="X107" s="83"/>
      <c r="Y107" s="83"/>
      <c r="Z107" s="83"/>
      <c r="AA107" s="5"/>
      <c r="AB107" s="5"/>
      <c r="AC107" s="5"/>
      <c r="AD107" s="5"/>
      <c r="AE107" s="5"/>
      <c r="AF107" s="5"/>
      <c r="AG107" s="5"/>
      <c r="AH107" s="5"/>
      <c r="AI107" s="51"/>
    </row>
    <row r="108">
      <c r="A108" s="41">
        <f>COUNTIF(C93:H116,"=4")/6</f>
        <v>0</v>
      </c>
      <c r="B108" s="40" t="s">
        <v>59</v>
      </c>
      <c r="C108" s="83"/>
      <c r="D108" s="83"/>
      <c r="E108" s="83"/>
      <c r="F108" s="83"/>
      <c r="G108" s="83"/>
      <c r="H108" s="83"/>
      <c r="I108" s="5"/>
      <c r="J108" s="41">
        <f>COUNTIF(L93:Q116,"=4")/6</f>
        <v>0</v>
      </c>
      <c r="K108" s="40" t="s">
        <v>59</v>
      </c>
      <c r="L108" s="83"/>
      <c r="M108" s="83"/>
      <c r="N108" s="83"/>
      <c r="O108" s="83"/>
      <c r="P108" s="83"/>
      <c r="Q108" s="83"/>
      <c r="R108" s="5"/>
      <c r="S108" s="41">
        <f>COUNTIF(U93:Z116,"=4")/6</f>
        <v>0</v>
      </c>
      <c r="T108" s="40" t="s">
        <v>59</v>
      </c>
      <c r="U108" s="83"/>
      <c r="V108" s="83"/>
      <c r="W108" s="83"/>
      <c r="X108" s="83"/>
      <c r="Y108" s="83"/>
      <c r="Z108" s="83"/>
      <c r="AA108" s="5"/>
      <c r="AB108" s="5"/>
      <c r="AC108" s="5"/>
      <c r="AD108" s="5"/>
      <c r="AE108" s="5"/>
      <c r="AF108" s="5"/>
      <c r="AG108" s="5"/>
      <c r="AH108" s="5"/>
      <c r="AI108" s="51"/>
    </row>
    <row r="109">
      <c r="A109" s="47" t="s">
        <v>60</v>
      </c>
      <c r="B109" s="40" t="s">
        <v>61</v>
      </c>
      <c r="C109" s="83"/>
      <c r="D109" s="83"/>
      <c r="E109" s="83"/>
      <c r="F109" s="83"/>
      <c r="G109" s="83"/>
      <c r="H109" s="83"/>
      <c r="I109" s="5"/>
      <c r="J109" s="47" t="s">
        <v>60</v>
      </c>
      <c r="K109" s="40" t="s">
        <v>61</v>
      </c>
      <c r="L109" s="83"/>
      <c r="M109" s="83"/>
      <c r="N109" s="83"/>
      <c r="O109" s="83"/>
      <c r="P109" s="83"/>
      <c r="Q109" s="83"/>
      <c r="R109" s="5"/>
      <c r="S109" s="47" t="s">
        <v>60</v>
      </c>
      <c r="T109" s="40" t="s">
        <v>61</v>
      </c>
      <c r="U109" s="83"/>
      <c r="V109" s="83"/>
      <c r="W109" s="83"/>
      <c r="X109" s="83"/>
      <c r="Y109" s="83"/>
      <c r="Z109" s="83"/>
      <c r="AA109" s="5"/>
      <c r="AB109" s="5"/>
      <c r="AC109" s="5"/>
      <c r="AD109" s="5"/>
      <c r="AE109" s="5"/>
      <c r="AF109" s="5"/>
      <c r="AG109" s="5"/>
      <c r="AH109" s="5"/>
      <c r="AI109" s="51"/>
    </row>
    <row r="110">
      <c r="A110" s="38"/>
      <c r="B110" s="34" t="s">
        <v>63</v>
      </c>
      <c r="C110" s="83"/>
      <c r="D110" s="83"/>
      <c r="E110" s="83"/>
      <c r="F110" s="83"/>
      <c r="G110" s="83"/>
      <c r="H110" s="83"/>
      <c r="I110" s="5"/>
      <c r="J110" s="38"/>
      <c r="K110" s="34" t="s">
        <v>63</v>
      </c>
      <c r="L110" s="83"/>
      <c r="M110" s="83"/>
      <c r="N110" s="83"/>
      <c r="O110" s="83"/>
      <c r="P110" s="83"/>
      <c r="Q110" s="83"/>
      <c r="R110" s="5"/>
      <c r="S110" s="38"/>
      <c r="T110" s="34" t="s">
        <v>63</v>
      </c>
      <c r="U110" s="83"/>
      <c r="V110" s="83"/>
      <c r="W110" s="83"/>
      <c r="X110" s="83"/>
      <c r="Y110" s="83"/>
      <c r="Z110" s="83"/>
      <c r="AA110" s="5"/>
      <c r="AB110" s="5"/>
      <c r="AC110" s="5"/>
      <c r="AD110" s="5"/>
      <c r="AE110" s="5"/>
      <c r="AF110" s="5"/>
      <c r="AG110" s="5"/>
      <c r="AH110" s="5"/>
      <c r="AI110" s="51"/>
    </row>
    <row r="111">
      <c r="A111" s="46"/>
      <c r="B111" s="40" t="s">
        <v>67</v>
      </c>
      <c r="C111" s="83"/>
      <c r="D111" s="83"/>
      <c r="E111" s="83"/>
      <c r="F111" s="83"/>
      <c r="G111" s="83"/>
      <c r="H111" s="83"/>
      <c r="I111" s="5"/>
      <c r="J111" s="46"/>
      <c r="K111" s="40" t="s">
        <v>67</v>
      </c>
      <c r="L111" s="83"/>
      <c r="M111" s="83"/>
      <c r="N111" s="83"/>
      <c r="O111" s="83"/>
      <c r="P111" s="83"/>
      <c r="Q111" s="83"/>
      <c r="R111" s="5"/>
      <c r="S111" s="46"/>
      <c r="T111" s="40" t="s">
        <v>67</v>
      </c>
      <c r="U111" s="83"/>
      <c r="V111" s="83"/>
      <c r="W111" s="83"/>
      <c r="X111" s="83"/>
      <c r="Y111" s="83"/>
      <c r="Z111" s="83"/>
      <c r="AA111" s="5"/>
      <c r="AB111" s="5"/>
      <c r="AC111" s="5"/>
      <c r="AD111" s="5"/>
      <c r="AE111" s="5"/>
      <c r="AF111" s="5"/>
      <c r="AG111" s="5"/>
      <c r="AH111" s="5"/>
      <c r="AI111" s="51"/>
    </row>
    <row r="112">
      <c r="A112" s="41">
        <f>COUNTIF(C93:H116,"=5")/6</f>
        <v>0</v>
      </c>
      <c r="B112" s="40" t="s">
        <v>68</v>
      </c>
      <c r="C112" s="83"/>
      <c r="D112" s="83"/>
      <c r="E112" s="83"/>
      <c r="F112" s="83"/>
      <c r="G112" s="83"/>
      <c r="H112" s="83"/>
      <c r="I112" s="5"/>
      <c r="J112" s="41">
        <f>COUNTIF(L93:Q116,"=5")/6</f>
        <v>0</v>
      </c>
      <c r="K112" s="40" t="s">
        <v>68</v>
      </c>
      <c r="L112" s="83"/>
      <c r="M112" s="83"/>
      <c r="N112" s="83"/>
      <c r="O112" s="83"/>
      <c r="P112" s="83"/>
      <c r="Q112" s="83"/>
      <c r="R112" s="5"/>
      <c r="S112" s="41">
        <f>COUNTIF(U93:Z116,"=5")/6</f>
        <v>0</v>
      </c>
      <c r="T112" s="40" t="s">
        <v>68</v>
      </c>
      <c r="U112" s="83"/>
      <c r="V112" s="83"/>
      <c r="W112" s="83"/>
      <c r="X112" s="83"/>
      <c r="Y112" s="83"/>
      <c r="Z112" s="83"/>
      <c r="AA112" s="5"/>
      <c r="AB112" s="5"/>
      <c r="AC112" s="5"/>
      <c r="AD112" s="5"/>
      <c r="AE112" s="5"/>
      <c r="AF112" s="5"/>
      <c r="AG112" s="5"/>
      <c r="AH112" s="5"/>
      <c r="AI112" s="51"/>
    </row>
    <row r="113">
      <c r="A113" s="48" t="s">
        <v>69</v>
      </c>
      <c r="B113" s="40" t="s">
        <v>23</v>
      </c>
      <c r="C113" s="83"/>
      <c r="D113" s="83"/>
      <c r="E113" s="83"/>
      <c r="F113" s="83"/>
      <c r="G113" s="83"/>
      <c r="H113" s="83"/>
      <c r="I113" s="5"/>
      <c r="J113" s="48" t="s">
        <v>69</v>
      </c>
      <c r="K113" s="40" t="s">
        <v>23</v>
      </c>
      <c r="L113" s="83"/>
      <c r="M113" s="83"/>
      <c r="N113" s="83"/>
      <c r="O113" s="83"/>
      <c r="P113" s="83"/>
      <c r="Q113" s="83"/>
      <c r="R113" s="5"/>
      <c r="S113" s="48" t="s">
        <v>69</v>
      </c>
      <c r="T113" s="40" t="s">
        <v>23</v>
      </c>
      <c r="U113" s="83"/>
      <c r="V113" s="83"/>
      <c r="W113" s="83"/>
      <c r="X113" s="83"/>
      <c r="Y113" s="83"/>
      <c r="Z113" s="83"/>
      <c r="AA113" s="5"/>
      <c r="AB113" s="5"/>
      <c r="AC113" s="5"/>
      <c r="AD113" s="5"/>
      <c r="AE113" s="5"/>
      <c r="AF113" s="5"/>
      <c r="AG113" s="5"/>
      <c r="AH113" s="5"/>
      <c r="AI113" s="51"/>
    </row>
    <row r="114">
      <c r="A114" s="46"/>
      <c r="B114" s="34" t="s">
        <v>70</v>
      </c>
      <c r="C114" s="83"/>
      <c r="D114" s="83"/>
      <c r="E114" s="83"/>
      <c r="F114" s="83"/>
      <c r="G114" s="83"/>
      <c r="H114" s="83"/>
      <c r="I114" s="5"/>
      <c r="J114" s="46"/>
      <c r="K114" s="34" t="s">
        <v>70</v>
      </c>
      <c r="L114" s="83"/>
      <c r="M114" s="83"/>
      <c r="N114" s="83"/>
      <c r="O114" s="83"/>
      <c r="P114" s="83"/>
      <c r="Q114" s="83"/>
      <c r="R114" s="5"/>
      <c r="S114" s="46"/>
      <c r="T114" s="34" t="s">
        <v>70</v>
      </c>
      <c r="U114" s="83"/>
      <c r="V114" s="83"/>
      <c r="W114" s="83"/>
      <c r="X114" s="83"/>
      <c r="Y114" s="83"/>
      <c r="Z114" s="83"/>
      <c r="AA114" s="5"/>
      <c r="AB114" s="5"/>
      <c r="AC114" s="5"/>
      <c r="AD114" s="5"/>
      <c r="AE114" s="5"/>
      <c r="AF114" s="5"/>
      <c r="AG114" s="5"/>
      <c r="AH114" s="5"/>
      <c r="AI114" s="51"/>
    </row>
    <row r="115">
      <c r="A115" s="39"/>
      <c r="B115" s="34" t="s">
        <v>72</v>
      </c>
      <c r="C115" s="83"/>
      <c r="D115" s="83"/>
      <c r="E115" s="83"/>
      <c r="F115" s="83"/>
      <c r="G115" s="83"/>
      <c r="H115" s="83"/>
      <c r="I115" s="5"/>
      <c r="J115" s="39"/>
      <c r="K115" s="34" t="s">
        <v>72</v>
      </c>
      <c r="L115" s="83"/>
      <c r="M115" s="83"/>
      <c r="N115" s="83"/>
      <c r="O115" s="83"/>
      <c r="P115" s="83"/>
      <c r="Q115" s="83"/>
      <c r="R115" s="5"/>
      <c r="S115" s="39"/>
      <c r="T115" s="34" t="s">
        <v>72</v>
      </c>
      <c r="U115" s="83"/>
      <c r="V115" s="83"/>
      <c r="W115" s="83"/>
      <c r="X115" s="83"/>
      <c r="Y115" s="83"/>
      <c r="Z115" s="83"/>
      <c r="AA115" s="5"/>
      <c r="AB115" s="5"/>
      <c r="AC115" s="5"/>
      <c r="AD115" s="5"/>
      <c r="AE115" s="5"/>
      <c r="AF115" s="5"/>
      <c r="AG115" s="5"/>
      <c r="AH115" s="5"/>
      <c r="AI115" s="51"/>
    </row>
    <row r="116">
      <c r="A116" s="49"/>
      <c r="B116" s="34" t="s">
        <v>73</v>
      </c>
      <c r="C116" s="83"/>
      <c r="D116" s="83"/>
      <c r="E116" s="83"/>
      <c r="F116" s="83"/>
      <c r="G116" s="83"/>
      <c r="H116" s="83"/>
      <c r="I116" s="5"/>
      <c r="J116" s="49"/>
      <c r="K116" s="34" t="s">
        <v>73</v>
      </c>
      <c r="L116" s="83"/>
      <c r="M116" s="83"/>
      <c r="N116" s="83"/>
      <c r="O116" s="83"/>
      <c r="P116" s="83"/>
      <c r="Q116" s="83"/>
      <c r="R116" s="5"/>
      <c r="S116" s="49"/>
      <c r="T116" s="34" t="s">
        <v>73</v>
      </c>
      <c r="U116" s="83"/>
      <c r="V116" s="83"/>
      <c r="W116" s="83"/>
      <c r="X116" s="83"/>
      <c r="Y116" s="83"/>
      <c r="Z116" s="83"/>
      <c r="AA116" s="5"/>
      <c r="AB116" s="5"/>
      <c r="AC116" s="5"/>
      <c r="AD116" s="5"/>
      <c r="AE116" s="5"/>
      <c r="AF116" s="5"/>
      <c r="AG116" s="5"/>
      <c r="AH116" s="5"/>
      <c r="AI116" s="51"/>
    </row>
    <row r="117">
      <c r="A117" s="50">
        <f>SUM(A96,A100,A104,A108,A112)</f>
        <v>0</v>
      </c>
      <c r="B117" s="5"/>
      <c r="C117" s="5"/>
      <c r="D117" s="5"/>
      <c r="E117" s="5"/>
      <c r="F117" s="5"/>
      <c r="G117" s="5"/>
      <c r="H117" s="5"/>
      <c r="I117" s="5"/>
      <c r="J117" s="50">
        <f>SUM(J96,J100,J104,J108,J112)</f>
        <v>0</v>
      </c>
      <c r="K117" s="5"/>
      <c r="L117" s="5"/>
      <c r="M117" s="5"/>
      <c r="N117" s="5"/>
      <c r="O117" s="5"/>
      <c r="P117" s="5"/>
      <c r="Q117" s="5"/>
      <c r="R117" s="5"/>
      <c r="S117" s="50">
        <f>SUM(S96,S100,S104,S108,S112)</f>
        <v>0</v>
      </c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1"/>
    </row>
    <row r="118">
      <c r="A118" s="86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2"/>
    </row>
    <row r="119">
      <c r="A119" s="90" t="s">
        <v>190</v>
      </c>
      <c r="B119" s="91"/>
      <c r="C119" s="91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4"/>
    </row>
    <row r="120">
      <c r="A120" s="53"/>
      <c r="B120" s="5"/>
      <c r="C120" s="5"/>
      <c r="D120" s="5"/>
      <c r="E120" s="5"/>
      <c r="F120" s="5"/>
      <c r="G120" s="5"/>
      <c r="H120" s="5"/>
      <c r="I120" s="5"/>
      <c r="J120" s="95"/>
      <c r="K120" s="5"/>
      <c r="L120" s="5"/>
      <c r="M120" s="5"/>
      <c r="N120" s="5"/>
      <c r="O120" s="5"/>
      <c r="P120" s="5"/>
      <c r="Q120" s="5"/>
      <c r="R120" s="5"/>
      <c r="S120" s="37"/>
      <c r="T120" s="5"/>
      <c r="U120" s="5"/>
      <c r="V120" s="5"/>
      <c r="W120" s="5"/>
      <c r="X120" s="5"/>
      <c r="Y120" s="5"/>
      <c r="Z120" s="5"/>
      <c r="AA120" s="5"/>
      <c r="AB120" s="37"/>
      <c r="AC120" s="5"/>
      <c r="AD120" s="5"/>
      <c r="AE120" s="5"/>
      <c r="AF120" s="5"/>
      <c r="AG120" s="5"/>
      <c r="AH120" s="5"/>
      <c r="AI120" s="51"/>
    </row>
    <row r="121">
      <c r="A121" s="54" t="s">
        <v>99</v>
      </c>
      <c r="B121" s="24" t="s">
        <v>16</v>
      </c>
      <c r="C121" s="25"/>
      <c r="D121" s="26">
        <v>1.0</v>
      </c>
      <c r="E121" s="27">
        <v>2.0</v>
      </c>
      <c r="F121" s="28">
        <v>3.0</v>
      </c>
      <c r="G121" s="29">
        <v>4.0</v>
      </c>
      <c r="H121" s="30">
        <v>5.0</v>
      </c>
      <c r="I121" s="5"/>
      <c r="J121" s="54" t="s">
        <v>102</v>
      </c>
      <c r="K121" s="24" t="s">
        <v>16</v>
      </c>
      <c r="L121" s="25"/>
      <c r="M121" s="26">
        <v>1.0</v>
      </c>
      <c r="N121" s="27">
        <v>2.0</v>
      </c>
      <c r="O121" s="28">
        <v>3.0</v>
      </c>
      <c r="P121" s="29">
        <v>4.0</v>
      </c>
      <c r="Q121" s="30">
        <v>5.0</v>
      </c>
      <c r="R121" s="5"/>
      <c r="S121" s="54" t="s">
        <v>103</v>
      </c>
      <c r="T121" s="24" t="s">
        <v>16</v>
      </c>
      <c r="U121" s="25"/>
      <c r="V121" s="26">
        <v>1.0</v>
      </c>
      <c r="W121" s="27">
        <v>2.0</v>
      </c>
      <c r="X121" s="28">
        <v>3.0</v>
      </c>
      <c r="Y121" s="29">
        <v>4.0</v>
      </c>
      <c r="Z121" s="30">
        <v>5.0</v>
      </c>
      <c r="AA121" s="5"/>
      <c r="AB121" s="54" t="s">
        <v>104</v>
      </c>
      <c r="AC121" s="24" t="s">
        <v>16</v>
      </c>
      <c r="AD121" s="25"/>
      <c r="AE121" s="26">
        <v>1.0</v>
      </c>
      <c r="AF121" s="27">
        <v>2.0</v>
      </c>
      <c r="AG121" s="28">
        <v>3.0</v>
      </c>
      <c r="AH121" s="29">
        <v>4.0</v>
      </c>
      <c r="AI121" s="30">
        <v>5.0</v>
      </c>
    </row>
    <row r="122">
      <c r="A122" s="31" t="s">
        <v>20</v>
      </c>
      <c r="B122" s="32" t="s">
        <v>21</v>
      </c>
      <c r="C122" s="32" t="s">
        <v>22</v>
      </c>
      <c r="D122" s="32" t="s">
        <v>23</v>
      </c>
      <c r="E122" s="32" t="s">
        <v>24</v>
      </c>
      <c r="F122" s="32" t="s">
        <v>25</v>
      </c>
      <c r="G122" s="32" t="s">
        <v>26</v>
      </c>
      <c r="H122" s="32" t="s">
        <v>27</v>
      </c>
      <c r="I122" s="5"/>
      <c r="J122" s="31" t="s">
        <v>20</v>
      </c>
      <c r="K122" s="32" t="s">
        <v>21</v>
      </c>
      <c r="L122" s="32" t="s">
        <v>22</v>
      </c>
      <c r="M122" s="32" t="s">
        <v>23</v>
      </c>
      <c r="N122" s="32" t="s">
        <v>24</v>
      </c>
      <c r="O122" s="32" t="s">
        <v>25</v>
      </c>
      <c r="P122" s="32" t="s">
        <v>26</v>
      </c>
      <c r="Q122" s="32" t="s">
        <v>27</v>
      </c>
      <c r="R122" s="5"/>
      <c r="S122" s="31" t="s">
        <v>20</v>
      </c>
      <c r="T122" s="32" t="s">
        <v>21</v>
      </c>
      <c r="U122" s="32" t="s">
        <v>22</v>
      </c>
      <c r="V122" s="32" t="s">
        <v>23</v>
      </c>
      <c r="W122" s="32" t="s">
        <v>24</v>
      </c>
      <c r="X122" s="32" t="s">
        <v>25</v>
      </c>
      <c r="Y122" s="32" t="s">
        <v>26</v>
      </c>
      <c r="Z122" s="32" t="s">
        <v>27</v>
      </c>
      <c r="AA122" s="5"/>
      <c r="AB122" s="31" t="s">
        <v>20</v>
      </c>
      <c r="AC122" s="32" t="s">
        <v>21</v>
      </c>
      <c r="AD122" s="32" t="s">
        <v>22</v>
      </c>
      <c r="AE122" s="32" t="s">
        <v>23</v>
      </c>
      <c r="AF122" s="32" t="s">
        <v>24</v>
      </c>
      <c r="AG122" s="32" t="s">
        <v>25</v>
      </c>
      <c r="AH122" s="32" t="s">
        <v>26</v>
      </c>
      <c r="AI122" s="32" t="s">
        <v>27</v>
      </c>
    </row>
    <row r="123">
      <c r="A123" s="33" t="s">
        <v>28</v>
      </c>
      <c r="B123" s="34" t="s">
        <v>21</v>
      </c>
      <c r="C123" s="83"/>
      <c r="D123" s="83"/>
      <c r="E123" s="83"/>
      <c r="F123" s="83"/>
      <c r="G123" s="83"/>
      <c r="H123" s="83"/>
      <c r="I123" s="5"/>
      <c r="J123" s="33" t="s">
        <v>28</v>
      </c>
      <c r="K123" s="34" t="s">
        <v>21</v>
      </c>
      <c r="L123" s="83"/>
      <c r="M123" s="83"/>
      <c r="N123" s="83"/>
      <c r="O123" s="83"/>
      <c r="P123" s="83"/>
      <c r="Q123" s="83"/>
      <c r="R123" s="5"/>
      <c r="S123" s="35" t="s">
        <v>28</v>
      </c>
      <c r="T123" s="34" t="s">
        <v>21</v>
      </c>
      <c r="U123" s="83"/>
      <c r="V123" s="83"/>
      <c r="W123" s="83"/>
      <c r="X123" s="83"/>
      <c r="Y123" s="83"/>
      <c r="Z123" s="83"/>
      <c r="AA123" s="5"/>
      <c r="AB123" s="35" t="s">
        <v>28</v>
      </c>
      <c r="AC123" s="34" t="s">
        <v>21</v>
      </c>
      <c r="AD123" s="83"/>
      <c r="AE123" s="83"/>
      <c r="AF123" s="83"/>
      <c r="AG123" s="83"/>
      <c r="AH123" s="83"/>
      <c r="AI123" s="83"/>
    </row>
    <row r="124">
      <c r="A124" s="38"/>
      <c r="B124" s="34" t="s">
        <v>30</v>
      </c>
      <c r="C124" s="83"/>
      <c r="D124" s="83"/>
      <c r="E124" s="83"/>
      <c r="F124" s="83"/>
      <c r="G124" s="83"/>
      <c r="H124" s="83"/>
      <c r="I124" s="37" t="s">
        <v>31</v>
      </c>
      <c r="J124" s="38"/>
      <c r="K124" s="34" t="s">
        <v>30</v>
      </c>
      <c r="L124" s="83"/>
      <c r="M124" s="83"/>
      <c r="N124" s="83"/>
      <c r="O124" s="83"/>
      <c r="P124" s="83"/>
      <c r="Q124" s="83"/>
      <c r="R124" s="5"/>
      <c r="S124" s="38"/>
      <c r="T124" s="34" t="s">
        <v>30</v>
      </c>
      <c r="U124" s="83"/>
      <c r="V124" s="83"/>
      <c r="W124" s="83"/>
      <c r="X124" s="83"/>
      <c r="Y124" s="83"/>
      <c r="Z124" s="83"/>
      <c r="AA124" s="5"/>
      <c r="AB124" s="38"/>
      <c r="AC124" s="34" t="s">
        <v>30</v>
      </c>
      <c r="AD124" s="83"/>
      <c r="AE124" s="83"/>
      <c r="AF124" s="83"/>
      <c r="AG124" s="83"/>
      <c r="AH124" s="83"/>
      <c r="AI124" s="83"/>
    </row>
    <row r="125">
      <c r="A125" s="39"/>
      <c r="B125" s="40" t="s">
        <v>33</v>
      </c>
      <c r="C125" s="83"/>
      <c r="D125" s="83"/>
      <c r="E125" s="83"/>
      <c r="F125" s="83"/>
      <c r="G125" s="83"/>
      <c r="H125" s="83"/>
      <c r="I125" s="5"/>
      <c r="J125" s="39"/>
      <c r="K125" s="40" t="s">
        <v>33</v>
      </c>
      <c r="L125" s="83"/>
      <c r="M125" s="83"/>
      <c r="N125" s="83"/>
      <c r="O125" s="83"/>
      <c r="P125" s="83"/>
      <c r="Q125" s="83"/>
      <c r="R125" s="5"/>
      <c r="S125" s="39"/>
      <c r="T125" s="40" t="s">
        <v>33</v>
      </c>
      <c r="U125" s="83"/>
      <c r="V125" s="83"/>
      <c r="W125" s="83"/>
      <c r="X125" s="83"/>
      <c r="Y125" s="83"/>
      <c r="Z125" s="83"/>
      <c r="AA125" s="5"/>
      <c r="AB125" s="39"/>
      <c r="AC125" s="40" t="s">
        <v>33</v>
      </c>
      <c r="AD125" s="83"/>
      <c r="AE125" s="83"/>
      <c r="AF125" s="83"/>
      <c r="AG125" s="83"/>
      <c r="AH125" s="83"/>
      <c r="AI125" s="83"/>
    </row>
    <row r="126">
      <c r="A126" s="41">
        <f>COUNTIF(C123:H146,"=1")/6</f>
        <v>0</v>
      </c>
      <c r="B126" s="40" t="s">
        <v>34</v>
      </c>
      <c r="C126" s="83"/>
      <c r="D126" s="83"/>
      <c r="E126" s="83"/>
      <c r="F126" s="83"/>
      <c r="G126" s="83"/>
      <c r="H126" s="83"/>
      <c r="I126" s="5"/>
      <c r="J126" s="41">
        <f>COUNTIF(L123:Q146,"=1")/6</f>
        <v>0</v>
      </c>
      <c r="K126" s="40" t="s">
        <v>34</v>
      </c>
      <c r="L126" s="83"/>
      <c r="M126" s="83"/>
      <c r="N126" s="83"/>
      <c r="O126" s="83"/>
      <c r="P126" s="83"/>
      <c r="Q126" s="83"/>
      <c r="R126" s="5"/>
      <c r="S126" s="41">
        <f>COUNTIF(U123:Z146,"=1")/6</f>
        <v>0</v>
      </c>
      <c r="T126" s="40" t="s">
        <v>34</v>
      </c>
      <c r="U126" s="83"/>
      <c r="V126" s="83"/>
      <c r="W126" s="83"/>
      <c r="X126" s="83"/>
      <c r="Y126" s="83"/>
      <c r="Z126" s="83"/>
      <c r="AA126" s="5"/>
      <c r="AB126" s="41">
        <f>COUNTIF(AD123:AI146,"=1")/6</f>
        <v>0</v>
      </c>
      <c r="AC126" s="40" t="s">
        <v>34</v>
      </c>
      <c r="AD126" s="83"/>
      <c r="AE126" s="83"/>
      <c r="AF126" s="83"/>
      <c r="AG126" s="83"/>
      <c r="AH126" s="83"/>
      <c r="AI126" s="83"/>
    </row>
    <row r="127">
      <c r="A127" s="42" t="s">
        <v>35</v>
      </c>
      <c r="B127" s="40" t="s">
        <v>36</v>
      </c>
      <c r="C127" s="83"/>
      <c r="D127" s="83"/>
      <c r="E127" s="83"/>
      <c r="F127" s="83"/>
      <c r="G127" s="83"/>
      <c r="H127" s="83"/>
      <c r="I127" s="5"/>
      <c r="J127" s="42" t="s">
        <v>35</v>
      </c>
      <c r="K127" s="40" t="s">
        <v>36</v>
      </c>
      <c r="L127" s="83"/>
      <c r="M127" s="83"/>
      <c r="N127" s="83"/>
      <c r="O127" s="83"/>
      <c r="P127" s="83"/>
      <c r="Q127" s="83"/>
      <c r="R127" s="5"/>
      <c r="S127" s="42" t="s">
        <v>35</v>
      </c>
      <c r="T127" s="40" t="s">
        <v>36</v>
      </c>
      <c r="U127" s="83"/>
      <c r="V127" s="83"/>
      <c r="W127" s="83"/>
      <c r="X127" s="83"/>
      <c r="Y127" s="83"/>
      <c r="Z127" s="83"/>
      <c r="AA127" s="5"/>
      <c r="AB127" s="42" t="s">
        <v>35</v>
      </c>
      <c r="AC127" s="40" t="s">
        <v>36</v>
      </c>
      <c r="AD127" s="83"/>
      <c r="AE127" s="83"/>
      <c r="AF127" s="83"/>
      <c r="AG127" s="83"/>
      <c r="AH127" s="83"/>
      <c r="AI127" s="83"/>
    </row>
    <row r="128">
      <c r="A128" s="68"/>
      <c r="B128" s="34" t="s">
        <v>38</v>
      </c>
      <c r="C128" s="83"/>
      <c r="D128" s="83"/>
      <c r="E128" s="83"/>
      <c r="F128" s="83"/>
      <c r="G128" s="85"/>
      <c r="H128" s="83"/>
      <c r="I128" s="5"/>
      <c r="J128" s="68"/>
      <c r="K128" s="34" t="s">
        <v>38</v>
      </c>
      <c r="L128" s="83"/>
      <c r="M128" s="83"/>
      <c r="N128" s="83"/>
      <c r="O128" s="83"/>
      <c r="P128" s="85"/>
      <c r="Q128" s="83"/>
      <c r="R128" s="5"/>
      <c r="S128" s="68"/>
      <c r="T128" s="34" t="s">
        <v>38</v>
      </c>
      <c r="U128" s="83"/>
      <c r="V128" s="83"/>
      <c r="W128" s="83"/>
      <c r="X128" s="83"/>
      <c r="Y128" s="85"/>
      <c r="Z128" s="83"/>
      <c r="AA128" s="5"/>
      <c r="AB128" s="68"/>
      <c r="AC128" s="34" t="s">
        <v>38</v>
      </c>
      <c r="AD128" s="83"/>
      <c r="AE128" s="83"/>
      <c r="AF128" s="83"/>
      <c r="AG128" s="83"/>
      <c r="AH128" s="85"/>
      <c r="AI128" s="83"/>
    </row>
    <row r="129">
      <c r="A129" s="39"/>
      <c r="B129" s="40" t="s">
        <v>42</v>
      </c>
      <c r="C129" s="83"/>
      <c r="D129" s="83"/>
      <c r="E129" s="83"/>
      <c r="F129" s="83"/>
      <c r="G129" s="83"/>
      <c r="H129" s="83"/>
      <c r="I129" s="5"/>
      <c r="J129" s="39"/>
      <c r="K129" s="40" t="s">
        <v>42</v>
      </c>
      <c r="L129" s="83"/>
      <c r="M129" s="83"/>
      <c r="N129" s="83"/>
      <c r="O129" s="83"/>
      <c r="P129" s="83"/>
      <c r="Q129" s="83"/>
      <c r="R129" s="5"/>
      <c r="S129" s="39"/>
      <c r="T129" s="40" t="s">
        <v>42</v>
      </c>
      <c r="U129" s="83"/>
      <c r="V129" s="83"/>
      <c r="W129" s="83"/>
      <c r="X129" s="83"/>
      <c r="Y129" s="83"/>
      <c r="Z129" s="83"/>
      <c r="AA129" s="5"/>
      <c r="AB129" s="39"/>
      <c r="AC129" s="40" t="s">
        <v>42</v>
      </c>
      <c r="AD129" s="83"/>
      <c r="AE129" s="83"/>
      <c r="AF129" s="83"/>
      <c r="AG129" s="83"/>
      <c r="AH129" s="83"/>
      <c r="AI129" s="83"/>
    </row>
    <row r="130">
      <c r="A130" s="41">
        <f>COUNTIF(C123:H146,"=2")/6</f>
        <v>0</v>
      </c>
      <c r="B130" s="40" t="s">
        <v>43</v>
      </c>
      <c r="C130" s="83"/>
      <c r="D130" s="83"/>
      <c r="E130" s="83"/>
      <c r="F130" s="83"/>
      <c r="G130" s="83"/>
      <c r="H130" s="83"/>
      <c r="I130" s="5"/>
      <c r="J130" s="41">
        <f>COUNTIF(L123:Q146,"=2")/6</f>
        <v>0</v>
      </c>
      <c r="K130" s="40" t="s">
        <v>43</v>
      </c>
      <c r="L130" s="83"/>
      <c r="M130" s="83"/>
      <c r="N130" s="83"/>
      <c r="O130" s="83"/>
      <c r="P130" s="83"/>
      <c r="Q130" s="83"/>
      <c r="R130" s="5"/>
      <c r="S130" s="41">
        <f>COUNTIF(U123:Z146,"=2")/6</f>
        <v>0</v>
      </c>
      <c r="T130" s="40" t="s">
        <v>43</v>
      </c>
      <c r="U130" s="83"/>
      <c r="V130" s="83"/>
      <c r="W130" s="83"/>
      <c r="X130" s="83"/>
      <c r="Y130" s="83"/>
      <c r="Z130" s="83"/>
      <c r="AA130" s="5"/>
      <c r="AB130" s="41">
        <f>COUNTIF(AD123:AI146,"=2")/6</f>
        <v>0</v>
      </c>
      <c r="AC130" s="40" t="s">
        <v>43</v>
      </c>
      <c r="AD130" s="83"/>
      <c r="AE130" s="83"/>
      <c r="AF130" s="83"/>
      <c r="AG130" s="83"/>
      <c r="AH130" s="83"/>
      <c r="AI130" s="83"/>
    </row>
    <row r="131">
      <c r="A131" s="44" t="s">
        <v>44</v>
      </c>
      <c r="B131" s="40" t="s">
        <v>45</v>
      </c>
      <c r="C131" s="83"/>
      <c r="D131" s="83"/>
      <c r="E131" s="83"/>
      <c r="F131" s="83"/>
      <c r="G131" s="83"/>
      <c r="H131" s="83"/>
      <c r="I131" s="5"/>
      <c r="J131" s="44" t="s">
        <v>44</v>
      </c>
      <c r="K131" s="40" t="s">
        <v>45</v>
      </c>
      <c r="L131" s="83"/>
      <c r="M131" s="83"/>
      <c r="N131" s="83"/>
      <c r="O131" s="83"/>
      <c r="P131" s="83"/>
      <c r="Q131" s="83"/>
      <c r="R131" s="5"/>
      <c r="S131" s="44" t="s">
        <v>44</v>
      </c>
      <c r="T131" s="40" t="s">
        <v>45</v>
      </c>
      <c r="U131" s="83"/>
      <c r="V131" s="83"/>
      <c r="W131" s="83"/>
      <c r="X131" s="83"/>
      <c r="Y131" s="83"/>
      <c r="Z131" s="83"/>
      <c r="AA131" s="5"/>
      <c r="AB131" s="44" t="s">
        <v>44</v>
      </c>
      <c r="AC131" s="40" t="s">
        <v>45</v>
      </c>
      <c r="AD131" s="83"/>
      <c r="AE131" s="83"/>
      <c r="AF131" s="83"/>
      <c r="AG131" s="83"/>
      <c r="AH131" s="83"/>
      <c r="AI131" s="83"/>
    </row>
    <row r="132">
      <c r="A132" s="38"/>
      <c r="B132" s="34" t="s">
        <v>47</v>
      </c>
      <c r="C132" s="83"/>
      <c r="D132" s="83"/>
      <c r="E132" s="83"/>
      <c r="F132" s="83"/>
      <c r="G132" s="83"/>
      <c r="H132" s="83"/>
      <c r="I132" s="5"/>
      <c r="J132" s="38"/>
      <c r="K132" s="34" t="s">
        <v>47</v>
      </c>
      <c r="L132" s="83"/>
      <c r="M132" s="83"/>
      <c r="N132" s="83"/>
      <c r="O132" s="83"/>
      <c r="P132" s="83"/>
      <c r="Q132" s="83"/>
      <c r="R132" s="5"/>
      <c r="S132" s="38"/>
      <c r="T132" s="34" t="s">
        <v>47</v>
      </c>
      <c r="U132" s="83"/>
      <c r="V132" s="83"/>
      <c r="W132" s="83"/>
      <c r="X132" s="83"/>
      <c r="Y132" s="83"/>
      <c r="Z132" s="83"/>
      <c r="AA132" s="5"/>
      <c r="AB132" s="38"/>
      <c r="AC132" s="34" t="s">
        <v>47</v>
      </c>
      <c r="AD132" s="83"/>
      <c r="AE132" s="83"/>
      <c r="AF132" s="83"/>
      <c r="AG132" s="83"/>
      <c r="AH132" s="83"/>
      <c r="AI132" s="83"/>
    </row>
    <row r="133">
      <c r="A133" s="39"/>
      <c r="B133" s="40" t="s">
        <v>22</v>
      </c>
      <c r="C133" s="83"/>
      <c r="D133" s="83"/>
      <c r="E133" s="83"/>
      <c r="F133" s="83"/>
      <c r="G133" s="83"/>
      <c r="H133" s="83"/>
      <c r="I133" s="5"/>
      <c r="J133" s="39"/>
      <c r="K133" s="40" t="s">
        <v>22</v>
      </c>
      <c r="L133" s="83"/>
      <c r="M133" s="83"/>
      <c r="N133" s="83"/>
      <c r="O133" s="83"/>
      <c r="P133" s="83"/>
      <c r="Q133" s="83"/>
      <c r="R133" s="5"/>
      <c r="S133" s="39"/>
      <c r="T133" s="40" t="s">
        <v>22</v>
      </c>
      <c r="U133" s="83"/>
      <c r="V133" s="83"/>
      <c r="W133" s="83"/>
      <c r="X133" s="83"/>
      <c r="Y133" s="83"/>
      <c r="Z133" s="83"/>
      <c r="AA133" s="5"/>
      <c r="AB133" s="39"/>
      <c r="AC133" s="40" t="s">
        <v>22</v>
      </c>
      <c r="AD133" s="83"/>
      <c r="AE133" s="83"/>
      <c r="AF133" s="83"/>
      <c r="AG133" s="83"/>
      <c r="AH133" s="83"/>
      <c r="AI133" s="83"/>
    </row>
    <row r="134">
      <c r="A134" s="41">
        <f>COUNTIF(C123:H146,"=3")/6</f>
        <v>0</v>
      </c>
      <c r="B134" s="40" t="s">
        <v>50</v>
      </c>
      <c r="C134" s="83"/>
      <c r="D134" s="83"/>
      <c r="E134" s="83"/>
      <c r="F134" s="83"/>
      <c r="G134" s="83"/>
      <c r="H134" s="83"/>
      <c r="I134" s="5"/>
      <c r="J134" s="41">
        <f>COUNTIF(L123:Q146,"=3")/6</f>
        <v>0</v>
      </c>
      <c r="K134" s="40" t="s">
        <v>50</v>
      </c>
      <c r="L134" s="83"/>
      <c r="M134" s="83"/>
      <c r="N134" s="83"/>
      <c r="O134" s="83"/>
      <c r="P134" s="83"/>
      <c r="Q134" s="83"/>
      <c r="R134" s="5"/>
      <c r="S134" s="41">
        <f>COUNTIF(U123:Z146,"=3")/6</f>
        <v>0</v>
      </c>
      <c r="T134" s="40" t="s">
        <v>50</v>
      </c>
      <c r="U134" s="83"/>
      <c r="V134" s="83"/>
      <c r="W134" s="83"/>
      <c r="X134" s="83"/>
      <c r="Y134" s="83"/>
      <c r="Z134" s="83"/>
      <c r="AA134" s="5"/>
      <c r="AB134" s="41">
        <f>COUNTIF(AD123:AI146,"=3")/6</f>
        <v>0</v>
      </c>
      <c r="AC134" s="40" t="s">
        <v>50</v>
      </c>
      <c r="AD134" s="83"/>
      <c r="AE134" s="83"/>
      <c r="AF134" s="83"/>
      <c r="AG134" s="83"/>
      <c r="AH134" s="83"/>
      <c r="AI134" s="83"/>
    </row>
    <row r="135">
      <c r="A135" s="45" t="s">
        <v>51</v>
      </c>
      <c r="B135" s="40" t="s">
        <v>52</v>
      </c>
      <c r="C135" s="83"/>
      <c r="D135" s="83"/>
      <c r="E135" s="83"/>
      <c r="F135" s="83"/>
      <c r="G135" s="83"/>
      <c r="H135" s="83"/>
      <c r="I135" s="5"/>
      <c r="J135" s="45" t="s">
        <v>51</v>
      </c>
      <c r="K135" s="40" t="s">
        <v>52</v>
      </c>
      <c r="L135" s="83"/>
      <c r="M135" s="83"/>
      <c r="N135" s="83"/>
      <c r="O135" s="83"/>
      <c r="P135" s="83"/>
      <c r="Q135" s="83"/>
      <c r="R135" s="5"/>
      <c r="S135" s="45" t="s">
        <v>51</v>
      </c>
      <c r="T135" s="40" t="s">
        <v>52</v>
      </c>
      <c r="U135" s="83"/>
      <c r="V135" s="83"/>
      <c r="W135" s="83"/>
      <c r="X135" s="83"/>
      <c r="Y135" s="83"/>
      <c r="Z135" s="83"/>
      <c r="AA135" s="5"/>
      <c r="AB135" s="45" t="s">
        <v>51</v>
      </c>
      <c r="AC135" s="40" t="s">
        <v>52</v>
      </c>
      <c r="AD135" s="83"/>
      <c r="AE135" s="83"/>
      <c r="AF135" s="83"/>
      <c r="AG135" s="83"/>
      <c r="AH135" s="83"/>
      <c r="AI135" s="83"/>
    </row>
    <row r="136">
      <c r="A136" s="38"/>
      <c r="B136" s="34" t="s">
        <v>54</v>
      </c>
      <c r="C136" s="83"/>
      <c r="D136" s="83"/>
      <c r="E136" s="83"/>
      <c r="F136" s="83"/>
      <c r="G136" s="83"/>
      <c r="H136" s="83"/>
      <c r="I136" s="5"/>
      <c r="J136" s="38"/>
      <c r="K136" s="34" t="s">
        <v>54</v>
      </c>
      <c r="L136" s="83"/>
      <c r="M136" s="83"/>
      <c r="N136" s="83"/>
      <c r="O136" s="83"/>
      <c r="P136" s="83"/>
      <c r="Q136" s="83"/>
      <c r="R136" s="5"/>
      <c r="S136" s="38"/>
      <c r="T136" s="34" t="s">
        <v>54</v>
      </c>
      <c r="U136" s="83"/>
      <c r="V136" s="83"/>
      <c r="W136" s="83"/>
      <c r="X136" s="83"/>
      <c r="Y136" s="83"/>
      <c r="Z136" s="83"/>
      <c r="AA136" s="5"/>
      <c r="AB136" s="38"/>
      <c r="AC136" s="34" t="s">
        <v>54</v>
      </c>
      <c r="AD136" s="83"/>
      <c r="AE136" s="83"/>
      <c r="AF136" s="83"/>
      <c r="AG136" s="83"/>
      <c r="AH136" s="83"/>
      <c r="AI136" s="83"/>
    </row>
    <row r="137">
      <c r="A137" s="46"/>
      <c r="B137" s="40" t="s">
        <v>58</v>
      </c>
      <c r="C137" s="83"/>
      <c r="D137" s="83"/>
      <c r="E137" s="83"/>
      <c r="F137" s="83"/>
      <c r="G137" s="83"/>
      <c r="H137" s="83"/>
      <c r="I137" s="5"/>
      <c r="J137" s="46"/>
      <c r="K137" s="40" t="s">
        <v>58</v>
      </c>
      <c r="L137" s="83"/>
      <c r="M137" s="83"/>
      <c r="N137" s="83"/>
      <c r="O137" s="83"/>
      <c r="P137" s="83"/>
      <c r="Q137" s="83"/>
      <c r="R137" s="5"/>
      <c r="S137" s="46"/>
      <c r="T137" s="40" t="s">
        <v>58</v>
      </c>
      <c r="U137" s="83"/>
      <c r="V137" s="83"/>
      <c r="W137" s="83"/>
      <c r="X137" s="83"/>
      <c r="Y137" s="83"/>
      <c r="Z137" s="83"/>
      <c r="AA137" s="5"/>
      <c r="AB137" s="46"/>
      <c r="AC137" s="40" t="s">
        <v>58</v>
      </c>
      <c r="AD137" s="83"/>
      <c r="AE137" s="83"/>
      <c r="AF137" s="83"/>
      <c r="AG137" s="83"/>
      <c r="AH137" s="83"/>
      <c r="AI137" s="83"/>
    </row>
    <row r="138">
      <c r="A138" s="41">
        <f>COUNTIF(C123:H146,"=4")/6</f>
        <v>0</v>
      </c>
      <c r="B138" s="40" t="s">
        <v>59</v>
      </c>
      <c r="C138" s="83"/>
      <c r="D138" s="83"/>
      <c r="E138" s="83"/>
      <c r="F138" s="83"/>
      <c r="G138" s="83"/>
      <c r="H138" s="83"/>
      <c r="I138" s="5"/>
      <c r="J138" s="41">
        <f>COUNTIF(L123:Q146,"=4")/6</f>
        <v>0</v>
      </c>
      <c r="K138" s="40" t="s">
        <v>59</v>
      </c>
      <c r="L138" s="83"/>
      <c r="M138" s="83"/>
      <c r="N138" s="83"/>
      <c r="O138" s="83"/>
      <c r="P138" s="83"/>
      <c r="Q138" s="83"/>
      <c r="R138" s="5"/>
      <c r="S138" s="41">
        <f>COUNTIF(U123:Z146,"=4")/6</f>
        <v>0</v>
      </c>
      <c r="T138" s="40" t="s">
        <v>59</v>
      </c>
      <c r="U138" s="83"/>
      <c r="V138" s="83"/>
      <c r="W138" s="83"/>
      <c r="X138" s="83"/>
      <c r="Y138" s="83"/>
      <c r="Z138" s="83"/>
      <c r="AA138" s="5"/>
      <c r="AB138" s="41">
        <f>COUNTIF(AD123:AI146,"=4")/6</f>
        <v>0</v>
      </c>
      <c r="AC138" s="40" t="s">
        <v>59</v>
      </c>
      <c r="AD138" s="83"/>
      <c r="AE138" s="83"/>
      <c r="AF138" s="83"/>
      <c r="AG138" s="83"/>
      <c r="AH138" s="83"/>
      <c r="AI138" s="83"/>
    </row>
    <row r="139">
      <c r="A139" s="47" t="s">
        <v>60</v>
      </c>
      <c r="B139" s="40" t="s">
        <v>61</v>
      </c>
      <c r="C139" s="83"/>
      <c r="D139" s="83"/>
      <c r="E139" s="83"/>
      <c r="F139" s="83"/>
      <c r="G139" s="83"/>
      <c r="H139" s="83"/>
      <c r="I139" s="5"/>
      <c r="J139" s="47" t="s">
        <v>60</v>
      </c>
      <c r="K139" s="40" t="s">
        <v>61</v>
      </c>
      <c r="L139" s="83"/>
      <c r="M139" s="83"/>
      <c r="N139" s="83"/>
      <c r="O139" s="83"/>
      <c r="P139" s="83"/>
      <c r="Q139" s="83"/>
      <c r="R139" s="5"/>
      <c r="S139" s="47" t="s">
        <v>60</v>
      </c>
      <c r="T139" s="40" t="s">
        <v>61</v>
      </c>
      <c r="U139" s="83"/>
      <c r="V139" s="83"/>
      <c r="W139" s="83"/>
      <c r="X139" s="83"/>
      <c r="Y139" s="83"/>
      <c r="Z139" s="83"/>
      <c r="AA139" s="5"/>
      <c r="AB139" s="47" t="s">
        <v>60</v>
      </c>
      <c r="AC139" s="40" t="s">
        <v>61</v>
      </c>
      <c r="AD139" s="83"/>
      <c r="AE139" s="83"/>
      <c r="AF139" s="83"/>
      <c r="AG139" s="83"/>
      <c r="AH139" s="83"/>
      <c r="AI139" s="83"/>
    </row>
    <row r="140">
      <c r="A140" s="38"/>
      <c r="B140" s="34" t="s">
        <v>63</v>
      </c>
      <c r="C140" s="83"/>
      <c r="D140" s="83"/>
      <c r="E140" s="83"/>
      <c r="F140" s="83"/>
      <c r="G140" s="83"/>
      <c r="H140" s="83"/>
      <c r="I140" s="5"/>
      <c r="J140" s="38"/>
      <c r="K140" s="34" t="s">
        <v>63</v>
      </c>
      <c r="L140" s="83"/>
      <c r="M140" s="83"/>
      <c r="N140" s="83"/>
      <c r="O140" s="83"/>
      <c r="P140" s="83"/>
      <c r="Q140" s="83"/>
      <c r="R140" s="5"/>
      <c r="S140" s="38"/>
      <c r="T140" s="34" t="s">
        <v>63</v>
      </c>
      <c r="U140" s="83"/>
      <c r="V140" s="83"/>
      <c r="W140" s="83"/>
      <c r="X140" s="83"/>
      <c r="Y140" s="83"/>
      <c r="Z140" s="83"/>
      <c r="AA140" s="5"/>
      <c r="AB140" s="38"/>
      <c r="AC140" s="34" t="s">
        <v>63</v>
      </c>
      <c r="AD140" s="83"/>
      <c r="AE140" s="83"/>
      <c r="AF140" s="83"/>
      <c r="AG140" s="83"/>
      <c r="AH140" s="83"/>
      <c r="AI140" s="83"/>
    </row>
    <row r="141">
      <c r="A141" s="46"/>
      <c r="B141" s="40" t="s">
        <v>67</v>
      </c>
      <c r="C141" s="83"/>
      <c r="D141" s="83"/>
      <c r="E141" s="83"/>
      <c r="F141" s="83"/>
      <c r="G141" s="83"/>
      <c r="H141" s="83"/>
      <c r="I141" s="5"/>
      <c r="J141" s="46"/>
      <c r="K141" s="40" t="s">
        <v>67</v>
      </c>
      <c r="L141" s="83"/>
      <c r="M141" s="83"/>
      <c r="N141" s="83"/>
      <c r="O141" s="83"/>
      <c r="P141" s="83"/>
      <c r="Q141" s="83"/>
      <c r="R141" s="5"/>
      <c r="S141" s="46"/>
      <c r="T141" s="40" t="s">
        <v>67</v>
      </c>
      <c r="U141" s="83"/>
      <c r="V141" s="83"/>
      <c r="W141" s="83"/>
      <c r="X141" s="83"/>
      <c r="Y141" s="83"/>
      <c r="Z141" s="83"/>
      <c r="AA141" s="5"/>
      <c r="AB141" s="46"/>
      <c r="AC141" s="40" t="s">
        <v>67</v>
      </c>
      <c r="AD141" s="83"/>
      <c r="AE141" s="83"/>
      <c r="AF141" s="83"/>
      <c r="AG141" s="83"/>
      <c r="AH141" s="83"/>
      <c r="AI141" s="83"/>
    </row>
    <row r="142">
      <c r="A142" s="41">
        <f>COUNTIF(C123:H146,"=5")/6</f>
        <v>0</v>
      </c>
      <c r="B142" s="40" t="s">
        <v>68</v>
      </c>
      <c r="C142" s="83"/>
      <c r="D142" s="83"/>
      <c r="E142" s="83"/>
      <c r="F142" s="83"/>
      <c r="G142" s="83"/>
      <c r="H142" s="83"/>
      <c r="I142" s="5"/>
      <c r="J142" s="41">
        <f>COUNTIF(L123:Q146,"=5")/6</f>
        <v>0</v>
      </c>
      <c r="K142" s="40" t="s">
        <v>68</v>
      </c>
      <c r="L142" s="83"/>
      <c r="M142" s="83"/>
      <c r="N142" s="83"/>
      <c r="O142" s="83"/>
      <c r="P142" s="83"/>
      <c r="Q142" s="83"/>
      <c r="R142" s="5"/>
      <c r="S142" s="41">
        <f>COUNTIF(U123:Z146,"=5")/6</f>
        <v>0</v>
      </c>
      <c r="T142" s="40" t="s">
        <v>68</v>
      </c>
      <c r="U142" s="83"/>
      <c r="V142" s="83"/>
      <c r="W142" s="83"/>
      <c r="X142" s="83"/>
      <c r="Y142" s="83"/>
      <c r="Z142" s="83"/>
      <c r="AA142" s="5"/>
      <c r="AB142" s="41">
        <f>COUNTIF(AD123:AI146,"=5")/6</f>
        <v>0</v>
      </c>
      <c r="AC142" s="40" t="s">
        <v>68</v>
      </c>
      <c r="AD142" s="83"/>
      <c r="AE142" s="83"/>
      <c r="AF142" s="83"/>
      <c r="AG142" s="83"/>
      <c r="AH142" s="83"/>
      <c r="AI142" s="83"/>
    </row>
    <row r="143">
      <c r="A143" s="48" t="s">
        <v>69</v>
      </c>
      <c r="B143" s="40" t="s">
        <v>23</v>
      </c>
      <c r="C143" s="83"/>
      <c r="D143" s="83"/>
      <c r="E143" s="83"/>
      <c r="F143" s="83"/>
      <c r="G143" s="83"/>
      <c r="H143" s="83"/>
      <c r="I143" s="5"/>
      <c r="J143" s="48" t="s">
        <v>69</v>
      </c>
      <c r="K143" s="40" t="s">
        <v>23</v>
      </c>
      <c r="L143" s="83"/>
      <c r="M143" s="83"/>
      <c r="N143" s="83"/>
      <c r="O143" s="83"/>
      <c r="P143" s="83"/>
      <c r="Q143" s="83"/>
      <c r="R143" s="5"/>
      <c r="S143" s="48" t="s">
        <v>69</v>
      </c>
      <c r="T143" s="40" t="s">
        <v>23</v>
      </c>
      <c r="U143" s="83"/>
      <c r="V143" s="83"/>
      <c r="W143" s="83"/>
      <c r="X143" s="83"/>
      <c r="Y143" s="83"/>
      <c r="Z143" s="83"/>
      <c r="AA143" s="5"/>
      <c r="AB143" s="48" t="s">
        <v>69</v>
      </c>
      <c r="AC143" s="40" t="s">
        <v>23</v>
      </c>
      <c r="AD143" s="83"/>
      <c r="AE143" s="83"/>
      <c r="AF143" s="83"/>
      <c r="AG143" s="83"/>
      <c r="AH143" s="83"/>
      <c r="AI143" s="83"/>
    </row>
    <row r="144">
      <c r="A144" s="46"/>
      <c r="B144" s="34" t="s">
        <v>70</v>
      </c>
      <c r="C144" s="83"/>
      <c r="D144" s="83"/>
      <c r="E144" s="83"/>
      <c r="F144" s="83"/>
      <c r="G144" s="83"/>
      <c r="H144" s="83"/>
      <c r="I144" s="5"/>
      <c r="J144" s="46"/>
      <c r="K144" s="34" t="s">
        <v>70</v>
      </c>
      <c r="L144" s="83"/>
      <c r="M144" s="83"/>
      <c r="N144" s="83"/>
      <c r="O144" s="83"/>
      <c r="P144" s="83"/>
      <c r="Q144" s="83"/>
      <c r="R144" s="5"/>
      <c r="S144" s="46"/>
      <c r="T144" s="34" t="s">
        <v>70</v>
      </c>
      <c r="U144" s="83"/>
      <c r="V144" s="83"/>
      <c r="W144" s="83"/>
      <c r="X144" s="83"/>
      <c r="Y144" s="83"/>
      <c r="Z144" s="83"/>
      <c r="AA144" s="5"/>
      <c r="AB144" s="46"/>
      <c r="AC144" s="34" t="s">
        <v>70</v>
      </c>
      <c r="AD144" s="83"/>
      <c r="AE144" s="83"/>
      <c r="AF144" s="83"/>
      <c r="AG144" s="83"/>
      <c r="AH144" s="83"/>
      <c r="AI144" s="83"/>
    </row>
    <row r="145">
      <c r="A145" s="39"/>
      <c r="B145" s="34" t="s">
        <v>72</v>
      </c>
      <c r="C145" s="83"/>
      <c r="D145" s="83"/>
      <c r="E145" s="83"/>
      <c r="F145" s="83"/>
      <c r="G145" s="83"/>
      <c r="H145" s="83"/>
      <c r="I145" s="5"/>
      <c r="J145" s="39"/>
      <c r="K145" s="34" t="s">
        <v>72</v>
      </c>
      <c r="L145" s="83"/>
      <c r="M145" s="83"/>
      <c r="N145" s="83"/>
      <c r="O145" s="83"/>
      <c r="P145" s="83"/>
      <c r="Q145" s="83"/>
      <c r="R145" s="5"/>
      <c r="S145" s="39"/>
      <c r="T145" s="34" t="s">
        <v>72</v>
      </c>
      <c r="U145" s="83"/>
      <c r="V145" s="83"/>
      <c r="W145" s="83"/>
      <c r="X145" s="83"/>
      <c r="Y145" s="83"/>
      <c r="Z145" s="83"/>
      <c r="AA145" s="5"/>
      <c r="AB145" s="39"/>
      <c r="AC145" s="34" t="s">
        <v>72</v>
      </c>
      <c r="AD145" s="83"/>
      <c r="AE145" s="83"/>
      <c r="AF145" s="83"/>
      <c r="AG145" s="83"/>
      <c r="AH145" s="83"/>
      <c r="AI145" s="83"/>
    </row>
    <row r="146">
      <c r="A146" s="49"/>
      <c r="B146" s="34" t="s">
        <v>73</v>
      </c>
      <c r="C146" s="83"/>
      <c r="D146" s="83"/>
      <c r="E146" s="83"/>
      <c r="F146" s="83"/>
      <c r="G146" s="83"/>
      <c r="H146" s="83"/>
      <c r="I146" s="5"/>
      <c r="J146" s="49"/>
      <c r="K146" s="34" t="s">
        <v>73</v>
      </c>
      <c r="L146" s="83"/>
      <c r="M146" s="83"/>
      <c r="N146" s="83"/>
      <c r="O146" s="83"/>
      <c r="P146" s="83"/>
      <c r="Q146" s="83"/>
      <c r="R146" s="5"/>
      <c r="S146" s="49"/>
      <c r="T146" s="34" t="s">
        <v>73</v>
      </c>
      <c r="U146" s="83"/>
      <c r="V146" s="83"/>
      <c r="W146" s="83"/>
      <c r="X146" s="83"/>
      <c r="Y146" s="83"/>
      <c r="Z146" s="83"/>
      <c r="AA146" s="5"/>
      <c r="AB146" s="49"/>
      <c r="AC146" s="34" t="s">
        <v>73</v>
      </c>
      <c r="AD146" s="83"/>
      <c r="AE146" s="83"/>
      <c r="AF146" s="83"/>
      <c r="AG146" s="83"/>
      <c r="AH146" s="83"/>
      <c r="AI146" s="83"/>
    </row>
    <row r="147">
      <c r="A147" s="50">
        <f>SUM(A126,A130,A134,A138,A142)</f>
        <v>0</v>
      </c>
      <c r="B147" s="5"/>
      <c r="C147" s="5"/>
      <c r="D147" s="5"/>
      <c r="E147" s="5"/>
      <c r="F147" s="5"/>
      <c r="G147" s="5"/>
      <c r="H147" s="5"/>
      <c r="I147" s="5"/>
      <c r="J147" s="50">
        <f>SUM(J126,J130,J134,J138,J142)</f>
        <v>0</v>
      </c>
      <c r="K147" s="5"/>
      <c r="L147" s="5"/>
      <c r="M147" s="5"/>
      <c r="N147" s="5"/>
      <c r="O147" s="5"/>
      <c r="P147" s="5"/>
      <c r="Q147" s="5"/>
      <c r="R147" s="5"/>
      <c r="S147" s="50">
        <f>SUM(S126,S130,S134,S138,S142)</f>
        <v>0</v>
      </c>
      <c r="T147" s="5"/>
      <c r="U147" s="5"/>
      <c r="V147" s="5"/>
      <c r="W147" s="5"/>
      <c r="X147" s="5"/>
      <c r="Y147" s="5"/>
      <c r="Z147" s="5"/>
      <c r="AA147" s="5"/>
      <c r="AB147" s="50">
        <f>SUM(AB126,AB130,AB134,AB138,AB142)</f>
        <v>0</v>
      </c>
      <c r="AC147" s="5"/>
      <c r="AD147" s="5"/>
      <c r="AE147" s="5"/>
      <c r="AF147" s="5"/>
      <c r="AG147" s="5"/>
      <c r="AH147" s="5"/>
      <c r="AI147" s="51"/>
    </row>
    <row r="148">
      <c r="A148" s="52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1"/>
    </row>
    <row r="149">
      <c r="A149" s="53"/>
      <c r="B149" s="5"/>
      <c r="C149" s="5"/>
      <c r="D149" s="5"/>
      <c r="E149" s="5"/>
      <c r="F149" s="5"/>
      <c r="G149" s="5"/>
      <c r="H149" s="5"/>
      <c r="I149" s="5"/>
      <c r="J149" s="37"/>
      <c r="K149" s="5"/>
      <c r="L149" s="5"/>
      <c r="M149" s="5"/>
      <c r="N149" s="5"/>
      <c r="O149" s="5"/>
      <c r="P149" s="5"/>
      <c r="Q149" s="5"/>
      <c r="R149" s="5"/>
      <c r="S149" s="37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1"/>
    </row>
    <row r="150">
      <c r="A150" s="54" t="s">
        <v>134</v>
      </c>
      <c r="B150" s="24" t="s">
        <v>16</v>
      </c>
      <c r="C150" s="25"/>
      <c r="D150" s="26">
        <v>1.0</v>
      </c>
      <c r="E150" s="27">
        <v>2.0</v>
      </c>
      <c r="F150" s="28">
        <v>3.0</v>
      </c>
      <c r="G150" s="29">
        <v>4.0</v>
      </c>
      <c r="H150" s="30">
        <v>5.0</v>
      </c>
      <c r="I150" s="5"/>
      <c r="J150" s="54" t="s">
        <v>135</v>
      </c>
      <c r="K150" s="24" t="s">
        <v>16</v>
      </c>
      <c r="L150" s="25"/>
      <c r="M150" s="26">
        <v>1.0</v>
      </c>
      <c r="N150" s="27">
        <v>2.0</v>
      </c>
      <c r="O150" s="28">
        <v>3.0</v>
      </c>
      <c r="P150" s="29">
        <v>4.0</v>
      </c>
      <c r="Q150" s="30">
        <v>5.0</v>
      </c>
      <c r="R150" s="5"/>
      <c r="S150" s="54" t="s">
        <v>136</v>
      </c>
      <c r="T150" s="24" t="s">
        <v>16</v>
      </c>
      <c r="U150" s="25"/>
      <c r="V150" s="26">
        <v>1.0</v>
      </c>
      <c r="W150" s="27">
        <v>2.0</v>
      </c>
      <c r="X150" s="28">
        <v>3.0</v>
      </c>
      <c r="Y150" s="29">
        <v>4.0</v>
      </c>
      <c r="Z150" s="30">
        <v>5.0</v>
      </c>
      <c r="AA150" s="5"/>
      <c r="AB150" s="54" t="s">
        <v>77</v>
      </c>
      <c r="AC150" s="55" t="s">
        <v>78</v>
      </c>
      <c r="AD150" s="55" t="s">
        <v>79</v>
      </c>
      <c r="AE150" s="55" t="s">
        <v>80</v>
      </c>
      <c r="AF150" s="55" t="s">
        <v>81</v>
      </c>
      <c r="AG150" s="55" t="s">
        <v>82</v>
      </c>
      <c r="AH150" s="55" t="s">
        <v>83</v>
      </c>
      <c r="AI150" s="55" t="s">
        <v>84</v>
      </c>
    </row>
    <row r="151">
      <c r="A151" s="31" t="s">
        <v>20</v>
      </c>
      <c r="B151" s="32" t="s">
        <v>21</v>
      </c>
      <c r="C151" s="32" t="s">
        <v>22</v>
      </c>
      <c r="D151" s="32" t="s">
        <v>23</v>
      </c>
      <c r="E151" s="32" t="s">
        <v>24</v>
      </c>
      <c r="F151" s="32" t="s">
        <v>25</v>
      </c>
      <c r="G151" s="32" t="s">
        <v>26</v>
      </c>
      <c r="H151" s="32" t="s">
        <v>27</v>
      </c>
      <c r="I151" s="5"/>
      <c r="J151" s="31" t="s">
        <v>20</v>
      </c>
      <c r="K151" s="32" t="s">
        <v>21</v>
      </c>
      <c r="L151" s="32" t="s">
        <v>22</v>
      </c>
      <c r="M151" s="32" t="s">
        <v>23</v>
      </c>
      <c r="N151" s="32" t="s">
        <v>24</v>
      </c>
      <c r="O151" s="32" t="s">
        <v>25</v>
      </c>
      <c r="P151" s="32" t="s">
        <v>26</v>
      </c>
      <c r="Q151" s="32" t="s">
        <v>27</v>
      </c>
      <c r="R151" s="5"/>
      <c r="S151" s="31" t="s">
        <v>20</v>
      </c>
      <c r="T151" s="32" t="s">
        <v>21</v>
      </c>
      <c r="U151" s="32" t="s">
        <v>22</v>
      </c>
      <c r="V151" s="32" t="s">
        <v>23</v>
      </c>
      <c r="W151" s="32" t="s">
        <v>24</v>
      </c>
      <c r="X151" s="32" t="s">
        <v>25</v>
      </c>
      <c r="Y151" s="32" t="s">
        <v>26</v>
      </c>
      <c r="Z151" s="32" t="s">
        <v>27</v>
      </c>
      <c r="AA151" s="5"/>
      <c r="AB151" s="33" t="s">
        <v>85</v>
      </c>
      <c r="AC151" s="56">
        <f>A126</f>
        <v>0</v>
      </c>
      <c r="AD151" s="56">
        <f>J126</f>
        <v>0</v>
      </c>
      <c r="AE151" s="56">
        <f>S126</f>
        <v>0</v>
      </c>
      <c r="AF151" s="56">
        <f>AB126</f>
        <v>0</v>
      </c>
      <c r="AG151" s="56">
        <f>A155</f>
        <v>0</v>
      </c>
      <c r="AH151" s="56">
        <f>J155</f>
        <v>0</v>
      </c>
      <c r="AI151" s="56">
        <f>S155</f>
        <v>0</v>
      </c>
    </row>
    <row r="152">
      <c r="A152" s="33" t="s">
        <v>28</v>
      </c>
      <c r="B152" s="34" t="s">
        <v>21</v>
      </c>
      <c r="C152" s="83"/>
      <c r="D152" s="83"/>
      <c r="E152" s="83"/>
      <c r="F152" s="83"/>
      <c r="G152" s="83"/>
      <c r="H152" s="83"/>
      <c r="I152" s="5"/>
      <c r="J152" s="33" t="s">
        <v>28</v>
      </c>
      <c r="K152" s="34" t="s">
        <v>21</v>
      </c>
      <c r="L152" s="83"/>
      <c r="M152" s="83"/>
      <c r="N152" s="83"/>
      <c r="O152" s="83"/>
      <c r="P152" s="83"/>
      <c r="Q152" s="83"/>
      <c r="R152" s="5"/>
      <c r="S152" s="35" t="s">
        <v>28</v>
      </c>
      <c r="T152" s="34" t="s">
        <v>21</v>
      </c>
      <c r="U152" s="83"/>
      <c r="V152" s="83"/>
      <c r="W152" s="83"/>
      <c r="X152" s="83"/>
      <c r="Y152" s="83"/>
      <c r="Z152" s="83"/>
      <c r="AA152" s="5"/>
      <c r="AB152" s="57"/>
      <c r="AC152" s="58" t="s">
        <v>86</v>
      </c>
      <c r="AD152" s="59"/>
      <c r="AE152" s="60">
        <f>SUM(AC151:AI151)</f>
        <v>0</v>
      </c>
      <c r="AF152" s="61" t="s">
        <v>87</v>
      </c>
      <c r="AG152" s="62"/>
      <c r="AH152" s="56">
        <f>AVERAGE(AC151:AI151)</f>
        <v>0</v>
      </c>
      <c r="AI152" s="51"/>
    </row>
    <row r="153">
      <c r="A153" s="38"/>
      <c r="B153" s="34" t="s">
        <v>30</v>
      </c>
      <c r="C153" s="83"/>
      <c r="D153" s="83"/>
      <c r="E153" s="83"/>
      <c r="F153" s="83"/>
      <c r="G153" s="83"/>
      <c r="H153" s="83"/>
      <c r="I153" s="37" t="s">
        <v>31</v>
      </c>
      <c r="J153" s="38"/>
      <c r="K153" s="34" t="s">
        <v>30</v>
      </c>
      <c r="L153" s="83"/>
      <c r="M153" s="83"/>
      <c r="N153" s="83"/>
      <c r="O153" s="83"/>
      <c r="P153" s="83"/>
      <c r="Q153" s="83"/>
      <c r="R153" s="5"/>
      <c r="S153" s="38"/>
      <c r="T153" s="34" t="s">
        <v>30</v>
      </c>
      <c r="U153" s="83"/>
      <c r="V153" s="83"/>
      <c r="W153" s="83"/>
      <c r="X153" s="83"/>
      <c r="Y153" s="83"/>
      <c r="Z153" s="83"/>
      <c r="AA153" s="5"/>
      <c r="AB153" s="63" t="s">
        <v>88</v>
      </c>
      <c r="AC153" s="56">
        <f>A130</f>
        <v>0</v>
      </c>
      <c r="AD153" s="56">
        <f>J130</f>
        <v>0</v>
      </c>
      <c r="AE153" s="56">
        <f>S130</f>
        <v>0</v>
      </c>
      <c r="AF153" s="56">
        <f>AB130</f>
        <v>0</v>
      </c>
      <c r="AG153" s="56">
        <f>A159</f>
        <v>0</v>
      </c>
      <c r="AH153" s="56">
        <f>J159</f>
        <v>0</v>
      </c>
      <c r="AI153" s="56">
        <f>S159</f>
        <v>0</v>
      </c>
    </row>
    <row r="154">
      <c r="A154" s="39"/>
      <c r="B154" s="40" t="s">
        <v>33</v>
      </c>
      <c r="C154" s="83"/>
      <c r="D154" s="83"/>
      <c r="E154" s="83"/>
      <c r="F154" s="83"/>
      <c r="G154" s="83"/>
      <c r="H154" s="83"/>
      <c r="I154" s="5"/>
      <c r="J154" s="39"/>
      <c r="K154" s="40" t="s">
        <v>33</v>
      </c>
      <c r="L154" s="83"/>
      <c r="M154" s="83"/>
      <c r="N154" s="83"/>
      <c r="O154" s="83"/>
      <c r="P154" s="83"/>
      <c r="Q154" s="83"/>
      <c r="R154" s="5"/>
      <c r="S154" s="39"/>
      <c r="T154" s="40" t="s">
        <v>33</v>
      </c>
      <c r="U154" s="83"/>
      <c r="V154" s="83"/>
      <c r="W154" s="83"/>
      <c r="X154" s="83"/>
      <c r="Y154" s="83"/>
      <c r="Z154" s="83"/>
      <c r="AA154" s="5"/>
      <c r="AB154" s="64"/>
      <c r="AC154" s="58" t="s">
        <v>86</v>
      </c>
      <c r="AD154" s="59"/>
      <c r="AE154" s="60">
        <f>SUM(AC153:AI153)</f>
        <v>0</v>
      </c>
      <c r="AF154" s="61" t="s">
        <v>87</v>
      </c>
      <c r="AG154" s="62"/>
      <c r="AH154" s="56">
        <f>AVERAGE(AC153:AI153)</f>
        <v>0</v>
      </c>
      <c r="AI154" s="51"/>
    </row>
    <row r="155">
      <c r="A155" s="41">
        <f>COUNTIF(C152:H175,"=1")/6</f>
        <v>0</v>
      </c>
      <c r="B155" s="40" t="s">
        <v>34</v>
      </c>
      <c r="C155" s="83"/>
      <c r="D155" s="83"/>
      <c r="E155" s="83"/>
      <c r="F155" s="83"/>
      <c r="G155" s="83"/>
      <c r="H155" s="83"/>
      <c r="I155" s="5"/>
      <c r="J155" s="41">
        <f>COUNTIF(L152:Q175,"=1")/6</f>
        <v>0</v>
      </c>
      <c r="K155" s="40" t="s">
        <v>34</v>
      </c>
      <c r="L155" s="83"/>
      <c r="M155" s="83"/>
      <c r="N155" s="83"/>
      <c r="O155" s="83"/>
      <c r="P155" s="83"/>
      <c r="Q155" s="83"/>
      <c r="R155" s="5"/>
      <c r="S155" s="41">
        <f>COUNTIF(U152:Z175,"=1")/6</f>
        <v>0</v>
      </c>
      <c r="T155" s="40" t="s">
        <v>34</v>
      </c>
      <c r="U155" s="83"/>
      <c r="V155" s="83"/>
      <c r="W155" s="83"/>
      <c r="X155" s="83"/>
      <c r="Y155" s="83"/>
      <c r="Z155" s="83"/>
      <c r="AA155" s="5"/>
      <c r="AB155" s="65" t="s">
        <v>89</v>
      </c>
      <c r="AC155" s="56">
        <f>A134</f>
        <v>0</v>
      </c>
      <c r="AD155" s="56">
        <f>J134</f>
        <v>0</v>
      </c>
      <c r="AE155" s="66" t="str">
        <f>S136</f>
        <v/>
      </c>
      <c r="AF155" s="56">
        <f>AB134</f>
        <v>0</v>
      </c>
      <c r="AG155" s="56">
        <f>A163</f>
        <v>0</v>
      </c>
      <c r="AH155" s="56">
        <f>J163</f>
        <v>0</v>
      </c>
      <c r="AI155" s="56">
        <f>S163</f>
        <v>0</v>
      </c>
    </row>
    <row r="156">
      <c r="A156" s="42" t="s">
        <v>35</v>
      </c>
      <c r="B156" s="40" t="s">
        <v>36</v>
      </c>
      <c r="C156" s="83"/>
      <c r="D156" s="83"/>
      <c r="E156" s="83"/>
      <c r="F156" s="83"/>
      <c r="G156" s="83"/>
      <c r="H156" s="83"/>
      <c r="I156" s="5"/>
      <c r="J156" s="42" t="s">
        <v>35</v>
      </c>
      <c r="K156" s="40" t="s">
        <v>36</v>
      </c>
      <c r="L156" s="83"/>
      <c r="M156" s="83"/>
      <c r="N156" s="83"/>
      <c r="O156" s="83"/>
      <c r="P156" s="83"/>
      <c r="Q156" s="83"/>
      <c r="R156" s="5"/>
      <c r="S156" s="42" t="s">
        <v>35</v>
      </c>
      <c r="T156" s="40" t="s">
        <v>36</v>
      </c>
      <c r="U156" s="83"/>
      <c r="V156" s="83"/>
      <c r="W156" s="83"/>
      <c r="X156" s="83"/>
      <c r="Y156" s="83"/>
      <c r="Z156" s="83"/>
      <c r="AA156" s="5"/>
      <c r="AB156" s="67"/>
      <c r="AC156" s="58" t="s">
        <v>86</v>
      </c>
      <c r="AD156" s="59"/>
      <c r="AE156" s="60">
        <f>SUM(AC155:AI155)</f>
        <v>0</v>
      </c>
      <c r="AF156" s="61" t="s">
        <v>87</v>
      </c>
      <c r="AG156" s="62"/>
      <c r="AH156" s="56">
        <f>AVERAGE(AC155:AI155)</f>
        <v>0</v>
      </c>
      <c r="AI156" s="51"/>
    </row>
    <row r="157">
      <c r="A157" s="68"/>
      <c r="B157" s="34" t="s">
        <v>38</v>
      </c>
      <c r="C157" s="83"/>
      <c r="D157" s="83"/>
      <c r="E157" s="83"/>
      <c r="F157" s="83"/>
      <c r="G157" s="85"/>
      <c r="H157" s="83"/>
      <c r="I157" s="5"/>
      <c r="J157" s="68"/>
      <c r="K157" s="34" t="s">
        <v>38</v>
      </c>
      <c r="L157" s="83"/>
      <c r="M157" s="83"/>
      <c r="N157" s="83"/>
      <c r="O157" s="83"/>
      <c r="P157" s="85"/>
      <c r="Q157" s="83"/>
      <c r="R157" s="5"/>
      <c r="S157" s="68"/>
      <c r="T157" s="34" t="s">
        <v>38</v>
      </c>
      <c r="U157" s="83"/>
      <c r="V157" s="83"/>
      <c r="W157" s="83"/>
      <c r="X157" s="83"/>
      <c r="Y157" s="85"/>
      <c r="Z157" s="83"/>
      <c r="AA157" s="5"/>
      <c r="AB157" s="69" t="s">
        <v>93</v>
      </c>
      <c r="AC157" s="56">
        <f>A138</f>
        <v>0</v>
      </c>
      <c r="AD157" s="56">
        <f>J138</f>
        <v>0</v>
      </c>
      <c r="AE157" s="56">
        <f>S138</f>
        <v>0</v>
      </c>
      <c r="AF157" s="56">
        <f>AB138</f>
        <v>0</v>
      </c>
      <c r="AG157" s="56">
        <f>A167</f>
        <v>0</v>
      </c>
      <c r="AH157" s="56">
        <f>J167</f>
        <v>0</v>
      </c>
      <c r="AI157" s="56">
        <f>S167</f>
        <v>0</v>
      </c>
    </row>
    <row r="158">
      <c r="A158" s="39"/>
      <c r="B158" s="40" t="s">
        <v>42</v>
      </c>
      <c r="C158" s="83"/>
      <c r="D158" s="83"/>
      <c r="E158" s="83"/>
      <c r="F158" s="83"/>
      <c r="G158" s="83"/>
      <c r="H158" s="83"/>
      <c r="I158" s="5"/>
      <c r="J158" s="39"/>
      <c r="K158" s="40" t="s">
        <v>42</v>
      </c>
      <c r="L158" s="83"/>
      <c r="M158" s="83"/>
      <c r="N158" s="83"/>
      <c r="O158" s="83"/>
      <c r="P158" s="83"/>
      <c r="Q158" s="83"/>
      <c r="R158" s="5"/>
      <c r="S158" s="39"/>
      <c r="T158" s="40" t="s">
        <v>42</v>
      </c>
      <c r="U158" s="83"/>
      <c r="V158" s="83"/>
      <c r="W158" s="83"/>
      <c r="X158" s="83"/>
      <c r="Y158" s="83"/>
      <c r="Z158" s="83"/>
      <c r="AA158" s="5"/>
      <c r="AB158" s="71"/>
      <c r="AC158" s="58" t="s">
        <v>86</v>
      </c>
      <c r="AD158" s="59"/>
      <c r="AE158" s="60">
        <f>SUM(AC157:AI157)</f>
        <v>0</v>
      </c>
      <c r="AF158" s="61" t="s">
        <v>87</v>
      </c>
      <c r="AG158" s="62"/>
      <c r="AH158" s="56">
        <f>AVERAGE(AC157:AI157)</f>
        <v>0</v>
      </c>
      <c r="AI158" s="51"/>
    </row>
    <row r="159">
      <c r="A159" s="41">
        <f>COUNTIF(C152:H175,"=2")/6</f>
        <v>0</v>
      </c>
      <c r="B159" s="40" t="s">
        <v>43</v>
      </c>
      <c r="C159" s="83"/>
      <c r="D159" s="83"/>
      <c r="E159" s="83"/>
      <c r="F159" s="83"/>
      <c r="G159" s="83"/>
      <c r="H159" s="83"/>
      <c r="I159" s="5"/>
      <c r="J159" s="41">
        <f>COUNTIF(L152:Q175,"=2")/6</f>
        <v>0</v>
      </c>
      <c r="K159" s="40" t="s">
        <v>43</v>
      </c>
      <c r="L159" s="83"/>
      <c r="M159" s="83"/>
      <c r="N159" s="83"/>
      <c r="O159" s="83"/>
      <c r="P159" s="83"/>
      <c r="Q159" s="83"/>
      <c r="R159" s="5"/>
      <c r="S159" s="41">
        <f>COUNTIF(U152:Z175,"=2")/6</f>
        <v>0</v>
      </c>
      <c r="T159" s="40" t="s">
        <v>43</v>
      </c>
      <c r="U159" s="83"/>
      <c r="V159" s="83"/>
      <c r="W159" s="83"/>
      <c r="X159" s="83"/>
      <c r="Y159" s="83"/>
      <c r="Z159" s="83"/>
      <c r="AA159" s="5"/>
      <c r="AB159" s="47" t="s">
        <v>98</v>
      </c>
      <c r="AC159" s="56">
        <f>A142</f>
        <v>0</v>
      </c>
      <c r="AD159" s="56">
        <f>J142</f>
        <v>0</v>
      </c>
      <c r="AE159" s="56">
        <f>S142</f>
        <v>0</v>
      </c>
      <c r="AF159" s="56">
        <f>AB142</f>
        <v>0</v>
      </c>
      <c r="AG159" s="56">
        <f>A171</f>
        <v>0</v>
      </c>
      <c r="AH159" s="56">
        <f>J171</f>
        <v>0</v>
      </c>
      <c r="AI159" s="56">
        <f>S171</f>
        <v>0</v>
      </c>
    </row>
    <row r="160">
      <c r="A160" s="44" t="s">
        <v>44</v>
      </c>
      <c r="B160" s="40" t="s">
        <v>45</v>
      </c>
      <c r="C160" s="83"/>
      <c r="D160" s="83"/>
      <c r="E160" s="83"/>
      <c r="F160" s="83"/>
      <c r="G160" s="83"/>
      <c r="H160" s="83"/>
      <c r="I160" s="5"/>
      <c r="J160" s="44" t="s">
        <v>44</v>
      </c>
      <c r="K160" s="40" t="s">
        <v>45</v>
      </c>
      <c r="L160" s="83"/>
      <c r="M160" s="83"/>
      <c r="N160" s="83"/>
      <c r="O160" s="83"/>
      <c r="P160" s="83"/>
      <c r="Q160" s="83"/>
      <c r="R160" s="5"/>
      <c r="S160" s="44" t="s">
        <v>44</v>
      </c>
      <c r="T160" s="40" t="s">
        <v>45</v>
      </c>
      <c r="U160" s="83"/>
      <c r="V160" s="83"/>
      <c r="W160" s="83"/>
      <c r="X160" s="83"/>
      <c r="Y160" s="83"/>
      <c r="Z160" s="83"/>
      <c r="AA160" s="5"/>
      <c r="AB160" s="80"/>
      <c r="AC160" s="58" t="s">
        <v>86</v>
      </c>
      <c r="AD160" s="59"/>
      <c r="AE160" s="60">
        <f>SUM(AC159:AI159)</f>
        <v>0</v>
      </c>
      <c r="AF160" s="61" t="s">
        <v>87</v>
      </c>
      <c r="AG160" s="62"/>
      <c r="AH160" s="56">
        <f>AVERAGE(AC159:AI159)</f>
        <v>0</v>
      </c>
      <c r="AI160" s="82"/>
    </row>
    <row r="161">
      <c r="A161" s="38"/>
      <c r="B161" s="34" t="s">
        <v>47</v>
      </c>
      <c r="C161" s="83"/>
      <c r="D161" s="83"/>
      <c r="E161" s="83"/>
      <c r="F161" s="83"/>
      <c r="G161" s="83"/>
      <c r="H161" s="83"/>
      <c r="I161" s="5"/>
      <c r="J161" s="38"/>
      <c r="K161" s="34" t="s">
        <v>47</v>
      </c>
      <c r="L161" s="83"/>
      <c r="M161" s="83"/>
      <c r="N161" s="83"/>
      <c r="O161" s="83"/>
      <c r="P161" s="83"/>
      <c r="Q161" s="83"/>
      <c r="R161" s="5"/>
      <c r="S161" s="38"/>
      <c r="T161" s="34" t="s">
        <v>47</v>
      </c>
      <c r="U161" s="83"/>
      <c r="V161" s="83"/>
      <c r="W161" s="83"/>
      <c r="X161" s="83"/>
      <c r="Y161" s="83"/>
      <c r="Z161" s="83"/>
      <c r="AA161" s="5"/>
      <c r="AB161" s="5"/>
      <c r="AC161" s="5"/>
      <c r="AD161" s="5"/>
      <c r="AE161" s="5"/>
      <c r="AF161" s="5"/>
      <c r="AG161" s="5"/>
      <c r="AH161" s="5"/>
      <c r="AI161" s="51"/>
    </row>
    <row r="162">
      <c r="A162" s="39"/>
      <c r="B162" s="40" t="s">
        <v>22</v>
      </c>
      <c r="C162" s="83"/>
      <c r="D162" s="83"/>
      <c r="E162" s="83"/>
      <c r="F162" s="83"/>
      <c r="G162" s="83"/>
      <c r="H162" s="83"/>
      <c r="I162" s="5"/>
      <c r="J162" s="39"/>
      <c r="K162" s="40" t="s">
        <v>22</v>
      </c>
      <c r="L162" s="83"/>
      <c r="M162" s="83"/>
      <c r="N162" s="83"/>
      <c r="O162" s="83"/>
      <c r="P162" s="83"/>
      <c r="Q162" s="83"/>
      <c r="R162" s="5"/>
      <c r="S162" s="39"/>
      <c r="T162" s="40" t="s">
        <v>22</v>
      </c>
      <c r="U162" s="83"/>
      <c r="V162" s="83"/>
      <c r="W162" s="83"/>
      <c r="X162" s="83"/>
      <c r="Y162" s="83"/>
      <c r="Z162" s="83"/>
      <c r="AA162" s="5"/>
      <c r="AB162" s="5"/>
      <c r="AC162" s="5"/>
      <c r="AD162" s="5"/>
      <c r="AE162" s="5"/>
      <c r="AF162" s="5"/>
      <c r="AG162" s="5"/>
      <c r="AH162" s="5"/>
      <c r="AI162" s="51"/>
    </row>
    <row r="163">
      <c r="A163" s="41">
        <f>COUNTIF(C152:H175,"=3")/6</f>
        <v>0</v>
      </c>
      <c r="B163" s="40" t="s">
        <v>50</v>
      </c>
      <c r="C163" s="83"/>
      <c r="D163" s="83"/>
      <c r="E163" s="83"/>
      <c r="F163" s="83"/>
      <c r="G163" s="83"/>
      <c r="H163" s="83"/>
      <c r="I163" s="5"/>
      <c r="J163" s="41">
        <f>COUNTIF(L152:Q175,"=3")/6</f>
        <v>0</v>
      </c>
      <c r="K163" s="40" t="s">
        <v>50</v>
      </c>
      <c r="L163" s="83"/>
      <c r="M163" s="83"/>
      <c r="N163" s="83"/>
      <c r="O163" s="83"/>
      <c r="P163" s="83"/>
      <c r="Q163" s="83"/>
      <c r="R163" s="5"/>
      <c r="S163" s="41">
        <f>COUNTIF(U152:Z175,"=3")/6</f>
        <v>0</v>
      </c>
      <c r="T163" s="40" t="s">
        <v>50</v>
      </c>
      <c r="U163" s="83"/>
      <c r="V163" s="83"/>
      <c r="W163" s="83"/>
      <c r="X163" s="83"/>
      <c r="Y163" s="83"/>
      <c r="Z163" s="83"/>
      <c r="AA163" s="5"/>
      <c r="AB163" s="5"/>
      <c r="AC163" s="5"/>
      <c r="AD163" s="5"/>
      <c r="AE163" s="5"/>
      <c r="AF163" s="5"/>
      <c r="AG163" s="5"/>
      <c r="AH163" s="5"/>
      <c r="AI163" s="51"/>
    </row>
    <row r="164">
      <c r="A164" s="45" t="s">
        <v>51</v>
      </c>
      <c r="B164" s="40" t="s">
        <v>52</v>
      </c>
      <c r="C164" s="83"/>
      <c r="D164" s="83"/>
      <c r="E164" s="83"/>
      <c r="F164" s="83"/>
      <c r="G164" s="83"/>
      <c r="H164" s="83"/>
      <c r="I164" s="5"/>
      <c r="J164" s="45" t="s">
        <v>51</v>
      </c>
      <c r="K164" s="40" t="s">
        <v>52</v>
      </c>
      <c r="L164" s="83"/>
      <c r="M164" s="83"/>
      <c r="N164" s="83"/>
      <c r="O164" s="83"/>
      <c r="P164" s="83"/>
      <c r="Q164" s="83"/>
      <c r="R164" s="5"/>
      <c r="S164" s="45" t="s">
        <v>51</v>
      </c>
      <c r="T164" s="40" t="s">
        <v>52</v>
      </c>
      <c r="U164" s="83"/>
      <c r="V164" s="83"/>
      <c r="W164" s="83"/>
      <c r="X164" s="83"/>
      <c r="Y164" s="83"/>
      <c r="Z164" s="83"/>
      <c r="AA164" s="5"/>
      <c r="AB164" s="5"/>
      <c r="AC164" s="5"/>
      <c r="AD164" s="5"/>
      <c r="AE164" s="5"/>
      <c r="AF164" s="5"/>
      <c r="AG164" s="5"/>
      <c r="AH164" s="5"/>
      <c r="AI164" s="51"/>
    </row>
    <row r="165">
      <c r="A165" s="38"/>
      <c r="B165" s="34" t="s">
        <v>54</v>
      </c>
      <c r="C165" s="83"/>
      <c r="D165" s="83"/>
      <c r="E165" s="83"/>
      <c r="F165" s="83"/>
      <c r="G165" s="83"/>
      <c r="H165" s="83"/>
      <c r="I165" s="5"/>
      <c r="J165" s="38"/>
      <c r="K165" s="34" t="s">
        <v>54</v>
      </c>
      <c r="L165" s="83"/>
      <c r="M165" s="83"/>
      <c r="N165" s="83"/>
      <c r="O165" s="83"/>
      <c r="P165" s="83"/>
      <c r="Q165" s="83"/>
      <c r="R165" s="5"/>
      <c r="S165" s="38"/>
      <c r="T165" s="34" t="s">
        <v>54</v>
      </c>
      <c r="U165" s="83"/>
      <c r="V165" s="83"/>
      <c r="W165" s="83"/>
      <c r="X165" s="83"/>
      <c r="Y165" s="83"/>
      <c r="Z165" s="83"/>
      <c r="AA165" s="5"/>
      <c r="AB165" s="5"/>
      <c r="AC165" s="5"/>
      <c r="AD165" s="5"/>
      <c r="AE165" s="5"/>
      <c r="AF165" s="5"/>
      <c r="AG165" s="5"/>
      <c r="AH165" s="5"/>
      <c r="AI165" s="51"/>
    </row>
    <row r="166">
      <c r="A166" s="46"/>
      <c r="B166" s="40" t="s">
        <v>58</v>
      </c>
      <c r="C166" s="83"/>
      <c r="D166" s="83"/>
      <c r="E166" s="83"/>
      <c r="F166" s="83"/>
      <c r="G166" s="83"/>
      <c r="H166" s="83"/>
      <c r="I166" s="5"/>
      <c r="J166" s="46"/>
      <c r="K166" s="40" t="s">
        <v>58</v>
      </c>
      <c r="L166" s="83"/>
      <c r="M166" s="83"/>
      <c r="N166" s="83"/>
      <c r="O166" s="83"/>
      <c r="P166" s="83"/>
      <c r="Q166" s="83"/>
      <c r="R166" s="5"/>
      <c r="S166" s="46"/>
      <c r="T166" s="40" t="s">
        <v>58</v>
      </c>
      <c r="U166" s="83"/>
      <c r="V166" s="83"/>
      <c r="W166" s="83"/>
      <c r="X166" s="83"/>
      <c r="Y166" s="83"/>
      <c r="Z166" s="83"/>
      <c r="AA166" s="5"/>
      <c r="AB166" s="5"/>
      <c r="AC166" s="5"/>
      <c r="AD166" s="5"/>
      <c r="AE166" s="5"/>
      <c r="AF166" s="5"/>
      <c r="AG166" s="5"/>
      <c r="AH166" s="5"/>
      <c r="AI166" s="51"/>
    </row>
    <row r="167">
      <c r="A167" s="41">
        <f>COUNTIF(C152:H175,"=4")/6</f>
        <v>0</v>
      </c>
      <c r="B167" s="40" t="s">
        <v>59</v>
      </c>
      <c r="C167" s="83"/>
      <c r="D167" s="83"/>
      <c r="E167" s="83"/>
      <c r="F167" s="83"/>
      <c r="G167" s="83"/>
      <c r="H167" s="83"/>
      <c r="I167" s="5"/>
      <c r="J167" s="41">
        <f>COUNTIF(L152:Q175,"=4")/6</f>
        <v>0</v>
      </c>
      <c r="K167" s="40" t="s">
        <v>59</v>
      </c>
      <c r="L167" s="83"/>
      <c r="M167" s="83"/>
      <c r="N167" s="83"/>
      <c r="O167" s="83"/>
      <c r="P167" s="83"/>
      <c r="Q167" s="83"/>
      <c r="R167" s="5"/>
      <c r="S167" s="41">
        <f>COUNTIF(U152:Z175,"=4")/6</f>
        <v>0</v>
      </c>
      <c r="T167" s="40" t="s">
        <v>59</v>
      </c>
      <c r="U167" s="83"/>
      <c r="V167" s="83"/>
      <c r="W167" s="83"/>
      <c r="X167" s="83"/>
      <c r="Y167" s="83"/>
      <c r="Z167" s="83"/>
      <c r="AA167" s="5"/>
      <c r="AB167" s="5"/>
      <c r="AC167" s="5"/>
      <c r="AD167" s="5"/>
      <c r="AE167" s="5"/>
      <c r="AF167" s="5"/>
      <c r="AG167" s="5"/>
      <c r="AH167" s="5"/>
      <c r="AI167" s="51"/>
    </row>
    <row r="168">
      <c r="A168" s="47" t="s">
        <v>60</v>
      </c>
      <c r="B168" s="40" t="s">
        <v>61</v>
      </c>
      <c r="C168" s="83"/>
      <c r="D168" s="83"/>
      <c r="E168" s="83"/>
      <c r="F168" s="83"/>
      <c r="G168" s="83"/>
      <c r="H168" s="83"/>
      <c r="I168" s="5"/>
      <c r="J168" s="47" t="s">
        <v>60</v>
      </c>
      <c r="K168" s="40" t="s">
        <v>61</v>
      </c>
      <c r="L168" s="83"/>
      <c r="M168" s="83"/>
      <c r="N168" s="83"/>
      <c r="O168" s="83"/>
      <c r="P168" s="83"/>
      <c r="Q168" s="83"/>
      <c r="R168" s="5"/>
      <c r="S168" s="47" t="s">
        <v>60</v>
      </c>
      <c r="T168" s="40" t="s">
        <v>61</v>
      </c>
      <c r="U168" s="83"/>
      <c r="V168" s="83"/>
      <c r="W168" s="83"/>
      <c r="X168" s="83"/>
      <c r="Y168" s="83"/>
      <c r="Z168" s="83"/>
      <c r="AA168" s="5"/>
      <c r="AB168" s="5"/>
      <c r="AC168" s="5"/>
      <c r="AD168" s="5"/>
      <c r="AE168" s="5"/>
      <c r="AF168" s="5"/>
      <c r="AG168" s="5"/>
      <c r="AH168" s="5"/>
      <c r="AI168" s="51"/>
    </row>
    <row r="169">
      <c r="A169" s="38"/>
      <c r="B169" s="34" t="s">
        <v>63</v>
      </c>
      <c r="C169" s="83"/>
      <c r="D169" s="83"/>
      <c r="E169" s="83"/>
      <c r="F169" s="83"/>
      <c r="G169" s="83"/>
      <c r="H169" s="83"/>
      <c r="I169" s="5"/>
      <c r="J169" s="38"/>
      <c r="K169" s="34" t="s">
        <v>63</v>
      </c>
      <c r="L169" s="83"/>
      <c r="M169" s="83"/>
      <c r="N169" s="83"/>
      <c r="O169" s="83"/>
      <c r="P169" s="83"/>
      <c r="Q169" s="83"/>
      <c r="R169" s="5"/>
      <c r="S169" s="38"/>
      <c r="T169" s="34" t="s">
        <v>63</v>
      </c>
      <c r="U169" s="83"/>
      <c r="V169" s="83"/>
      <c r="W169" s="83"/>
      <c r="X169" s="83"/>
      <c r="Y169" s="83"/>
      <c r="Z169" s="83"/>
      <c r="AA169" s="5"/>
      <c r="AB169" s="5"/>
      <c r="AC169" s="5"/>
      <c r="AD169" s="5"/>
      <c r="AE169" s="5"/>
      <c r="AF169" s="5"/>
      <c r="AG169" s="5"/>
      <c r="AH169" s="5"/>
      <c r="AI169" s="51"/>
    </row>
    <row r="170">
      <c r="A170" s="46"/>
      <c r="B170" s="40" t="s">
        <v>67</v>
      </c>
      <c r="C170" s="83"/>
      <c r="D170" s="83"/>
      <c r="E170" s="83"/>
      <c r="F170" s="83"/>
      <c r="G170" s="83"/>
      <c r="H170" s="83"/>
      <c r="I170" s="5"/>
      <c r="J170" s="46"/>
      <c r="K170" s="40" t="s">
        <v>67</v>
      </c>
      <c r="L170" s="83"/>
      <c r="M170" s="83"/>
      <c r="N170" s="83"/>
      <c r="O170" s="83"/>
      <c r="P170" s="83"/>
      <c r="Q170" s="83"/>
      <c r="R170" s="5"/>
      <c r="S170" s="46"/>
      <c r="T170" s="40" t="s">
        <v>67</v>
      </c>
      <c r="U170" s="83"/>
      <c r="V170" s="83"/>
      <c r="W170" s="83"/>
      <c r="X170" s="83"/>
      <c r="Y170" s="83"/>
      <c r="Z170" s="83"/>
      <c r="AA170" s="5"/>
      <c r="AB170" s="5"/>
      <c r="AC170" s="5"/>
      <c r="AD170" s="5"/>
      <c r="AE170" s="5"/>
      <c r="AF170" s="5"/>
      <c r="AG170" s="5"/>
      <c r="AH170" s="5"/>
      <c r="AI170" s="51"/>
    </row>
    <row r="171">
      <c r="A171" s="41">
        <f>COUNTIF(C152:H175,"=5")/6</f>
        <v>0</v>
      </c>
      <c r="B171" s="40" t="s">
        <v>68</v>
      </c>
      <c r="C171" s="83"/>
      <c r="D171" s="83"/>
      <c r="E171" s="83"/>
      <c r="F171" s="83"/>
      <c r="G171" s="83"/>
      <c r="H171" s="83"/>
      <c r="I171" s="5"/>
      <c r="J171" s="41">
        <f>COUNTIF(L152:Q175,"=5")/6</f>
        <v>0</v>
      </c>
      <c r="K171" s="40" t="s">
        <v>68</v>
      </c>
      <c r="L171" s="83"/>
      <c r="M171" s="83"/>
      <c r="N171" s="83"/>
      <c r="O171" s="83"/>
      <c r="P171" s="83"/>
      <c r="Q171" s="83"/>
      <c r="R171" s="5"/>
      <c r="S171" s="41">
        <f>COUNTIF(U152:Z175,"=5")/6</f>
        <v>0</v>
      </c>
      <c r="T171" s="40" t="s">
        <v>68</v>
      </c>
      <c r="U171" s="83"/>
      <c r="V171" s="83"/>
      <c r="W171" s="83"/>
      <c r="X171" s="83"/>
      <c r="Y171" s="83"/>
      <c r="Z171" s="83"/>
      <c r="AA171" s="5"/>
      <c r="AB171" s="5"/>
      <c r="AC171" s="5"/>
      <c r="AD171" s="5"/>
      <c r="AE171" s="5"/>
      <c r="AF171" s="5"/>
      <c r="AG171" s="5"/>
      <c r="AH171" s="5"/>
      <c r="AI171" s="51"/>
    </row>
    <row r="172">
      <c r="A172" s="48" t="s">
        <v>69</v>
      </c>
      <c r="B172" s="40" t="s">
        <v>23</v>
      </c>
      <c r="C172" s="83"/>
      <c r="D172" s="83"/>
      <c r="E172" s="83"/>
      <c r="F172" s="83"/>
      <c r="G172" s="83"/>
      <c r="H172" s="83"/>
      <c r="I172" s="5"/>
      <c r="J172" s="48" t="s">
        <v>69</v>
      </c>
      <c r="K172" s="40" t="s">
        <v>23</v>
      </c>
      <c r="L172" s="83"/>
      <c r="M172" s="83"/>
      <c r="N172" s="83"/>
      <c r="O172" s="83"/>
      <c r="P172" s="83"/>
      <c r="Q172" s="83"/>
      <c r="R172" s="5"/>
      <c r="S172" s="48" t="s">
        <v>69</v>
      </c>
      <c r="T172" s="40" t="s">
        <v>23</v>
      </c>
      <c r="U172" s="83"/>
      <c r="V172" s="83"/>
      <c r="W172" s="83"/>
      <c r="X172" s="83"/>
      <c r="Y172" s="83"/>
      <c r="Z172" s="83"/>
      <c r="AA172" s="5"/>
      <c r="AB172" s="5"/>
      <c r="AC172" s="5"/>
      <c r="AD172" s="5"/>
      <c r="AE172" s="5"/>
      <c r="AF172" s="5"/>
      <c r="AG172" s="5"/>
      <c r="AH172" s="5"/>
      <c r="AI172" s="51"/>
    </row>
    <row r="173">
      <c r="A173" s="46"/>
      <c r="B173" s="34" t="s">
        <v>70</v>
      </c>
      <c r="C173" s="83"/>
      <c r="D173" s="83"/>
      <c r="E173" s="83"/>
      <c r="F173" s="83"/>
      <c r="G173" s="83"/>
      <c r="H173" s="83"/>
      <c r="I173" s="5"/>
      <c r="J173" s="46"/>
      <c r="K173" s="34" t="s">
        <v>70</v>
      </c>
      <c r="L173" s="83"/>
      <c r="M173" s="83"/>
      <c r="N173" s="83"/>
      <c r="O173" s="83"/>
      <c r="P173" s="83"/>
      <c r="Q173" s="83"/>
      <c r="R173" s="5"/>
      <c r="S173" s="46"/>
      <c r="T173" s="34" t="s">
        <v>70</v>
      </c>
      <c r="U173" s="83"/>
      <c r="V173" s="83"/>
      <c r="W173" s="83"/>
      <c r="X173" s="83"/>
      <c r="Y173" s="83"/>
      <c r="Z173" s="83"/>
      <c r="AA173" s="5"/>
      <c r="AB173" s="5"/>
      <c r="AC173" s="5"/>
      <c r="AD173" s="5"/>
      <c r="AE173" s="5"/>
      <c r="AF173" s="5"/>
      <c r="AG173" s="5"/>
      <c r="AH173" s="5"/>
      <c r="AI173" s="51"/>
    </row>
    <row r="174">
      <c r="A174" s="39"/>
      <c r="B174" s="34" t="s">
        <v>72</v>
      </c>
      <c r="C174" s="83"/>
      <c r="D174" s="83"/>
      <c r="E174" s="83"/>
      <c r="F174" s="83"/>
      <c r="G174" s="83"/>
      <c r="H174" s="83"/>
      <c r="I174" s="5"/>
      <c r="J174" s="39"/>
      <c r="K174" s="34" t="s">
        <v>72</v>
      </c>
      <c r="L174" s="83"/>
      <c r="M174" s="83"/>
      <c r="N174" s="83"/>
      <c r="O174" s="83"/>
      <c r="P174" s="83"/>
      <c r="Q174" s="83"/>
      <c r="R174" s="5"/>
      <c r="S174" s="39"/>
      <c r="T174" s="34" t="s">
        <v>72</v>
      </c>
      <c r="U174" s="83"/>
      <c r="V174" s="83"/>
      <c r="W174" s="83"/>
      <c r="X174" s="83"/>
      <c r="Y174" s="83"/>
      <c r="Z174" s="83"/>
      <c r="AA174" s="5"/>
      <c r="AB174" s="5"/>
      <c r="AC174" s="5"/>
      <c r="AD174" s="5"/>
      <c r="AE174" s="5"/>
      <c r="AF174" s="5"/>
      <c r="AG174" s="5"/>
      <c r="AH174" s="5"/>
      <c r="AI174" s="51"/>
    </row>
    <row r="175">
      <c r="A175" s="49"/>
      <c r="B175" s="34" t="s">
        <v>73</v>
      </c>
      <c r="C175" s="83"/>
      <c r="D175" s="83"/>
      <c r="E175" s="83"/>
      <c r="F175" s="83"/>
      <c r="G175" s="83"/>
      <c r="H175" s="83"/>
      <c r="I175" s="5"/>
      <c r="J175" s="49"/>
      <c r="K175" s="34" t="s">
        <v>73</v>
      </c>
      <c r="L175" s="83"/>
      <c r="M175" s="83"/>
      <c r="N175" s="83"/>
      <c r="O175" s="83"/>
      <c r="P175" s="83"/>
      <c r="Q175" s="83"/>
      <c r="R175" s="5"/>
      <c r="S175" s="49"/>
      <c r="T175" s="34" t="s">
        <v>73</v>
      </c>
      <c r="U175" s="83"/>
      <c r="V175" s="83"/>
      <c r="W175" s="83"/>
      <c r="X175" s="83"/>
      <c r="Y175" s="83"/>
      <c r="Z175" s="83"/>
      <c r="AA175" s="5"/>
      <c r="AB175" s="5"/>
      <c r="AC175" s="5"/>
      <c r="AD175" s="5"/>
      <c r="AE175" s="5"/>
      <c r="AF175" s="5"/>
      <c r="AG175" s="5"/>
      <c r="AH175" s="5"/>
      <c r="AI175" s="51"/>
    </row>
    <row r="176">
      <c r="A176" s="50">
        <f>SUM(A155,A159,A163,A167,A171)</f>
        <v>0</v>
      </c>
      <c r="B176" s="5"/>
      <c r="C176" s="5"/>
      <c r="D176" s="5"/>
      <c r="E176" s="5"/>
      <c r="F176" s="5"/>
      <c r="G176" s="5"/>
      <c r="H176" s="5"/>
      <c r="I176" s="5"/>
      <c r="J176" s="50">
        <f>SUM(J155,J159,J163,J167,J171)</f>
        <v>0</v>
      </c>
      <c r="K176" s="5"/>
      <c r="L176" s="5"/>
      <c r="M176" s="5"/>
      <c r="N176" s="5"/>
      <c r="O176" s="5"/>
      <c r="P176" s="5"/>
      <c r="Q176" s="5"/>
      <c r="R176" s="5"/>
      <c r="S176" s="50">
        <f>SUM(S155,S159,S163,S167,S171)</f>
        <v>0</v>
      </c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1"/>
    </row>
    <row r="177">
      <c r="A177" s="86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2"/>
    </row>
    <row r="178">
      <c r="A178" s="90" t="s">
        <v>213</v>
      </c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59"/>
    </row>
    <row r="179">
      <c r="A179" s="53"/>
      <c r="B179" s="5"/>
      <c r="C179" s="5"/>
      <c r="D179" s="5"/>
      <c r="E179" s="5"/>
      <c r="F179" s="5"/>
      <c r="G179" s="5"/>
      <c r="H179" s="5"/>
      <c r="I179" s="5"/>
      <c r="J179" s="95"/>
      <c r="K179" s="5"/>
      <c r="L179" s="5"/>
      <c r="M179" s="5"/>
      <c r="N179" s="5"/>
      <c r="O179" s="5"/>
      <c r="P179" s="5"/>
      <c r="Q179" s="5"/>
      <c r="R179" s="5"/>
      <c r="S179" s="37"/>
      <c r="T179" s="5"/>
      <c r="U179" s="5"/>
      <c r="V179" s="5"/>
      <c r="W179" s="5"/>
      <c r="X179" s="5"/>
      <c r="Y179" s="5"/>
      <c r="Z179" s="5"/>
      <c r="AA179" s="5"/>
      <c r="AB179" s="37"/>
      <c r="AC179" s="5"/>
      <c r="AD179" s="5"/>
      <c r="AE179" s="5"/>
      <c r="AF179" s="5"/>
      <c r="AG179" s="5"/>
      <c r="AH179" s="5"/>
      <c r="AI179" s="51"/>
    </row>
    <row r="180">
      <c r="A180" s="54" t="s">
        <v>99</v>
      </c>
      <c r="B180" s="24" t="s">
        <v>16</v>
      </c>
      <c r="C180" s="25"/>
      <c r="D180" s="26">
        <v>1.0</v>
      </c>
      <c r="E180" s="27">
        <v>2.0</v>
      </c>
      <c r="F180" s="28">
        <v>3.0</v>
      </c>
      <c r="G180" s="29">
        <v>4.0</v>
      </c>
      <c r="H180" s="30">
        <v>5.0</v>
      </c>
      <c r="I180" s="5"/>
      <c r="J180" s="54" t="s">
        <v>102</v>
      </c>
      <c r="K180" s="24" t="s">
        <v>16</v>
      </c>
      <c r="L180" s="25"/>
      <c r="M180" s="76">
        <v>1.0</v>
      </c>
      <c r="N180" s="27">
        <v>2.0</v>
      </c>
      <c r="O180" s="28">
        <v>3.0</v>
      </c>
      <c r="P180" s="29">
        <v>4.0</v>
      </c>
      <c r="Q180" s="30">
        <v>5.0</v>
      </c>
      <c r="R180" s="5"/>
      <c r="S180" s="54" t="s">
        <v>103</v>
      </c>
      <c r="T180" s="24" t="s">
        <v>16</v>
      </c>
      <c r="U180" s="25"/>
      <c r="V180" s="76">
        <v>1.0</v>
      </c>
      <c r="W180" s="27">
        <v>2.0</v>
      </c>
      <c r="X180" s="28">
        <v>3.0</v>
      </c>
      <c r="Y180" s="29">
        <v>4.0</v>
      </c>
      <c r="Z180" s="30">
        <v>5.0</v>
      </c>
      <c r="AA180" s="5"/>
      <c r="AB180" s="54" t="s">
        <v>104</v>
      </c>
      <c r="AC180" s="24" t="s">
        <v>16</v>
      </c>
      <c r="AD180" s="25"/>
      <c r="AE180" s="76">
        <v>1.0</v>
      </c>
      <c r="AF180" s="27">
        <v>2.0</v>
      </c>
      <c r="AG180" s="28">
        <v>3.0</v>
      </c>
      <c r="AH180" s="29">
        <v>4.0</v>
      </c>
      <c r="AI180" s="30">
        <v>5.0</v>
      </c>
    </row>
    <row r="181">
      <c r="A181" s="31" t="s">
        <v>20</v>
      </c>
      <c r="B181" s="32" t="s">
        <v>21</v>
      </c>
      <c r="C181" s="32" t="s">
        <v>22</v>
      </c>
      <c r="D181" s="32" t="s">
        <v>23</v>
      </c>
      <c r="E181" s="32" t="s">
        <v>24</v>
      </c>
      <c r="F181" s="32" t="s">
        <v>25</v>
      </c>
      <c r="G181" s="32" t="s">
        <v>26</v>
      </c>
      <c r="H181" s="32" t="s">
        <v>27</v>
      </c>
      <c r="I181" s="5"/>
      <c r="J181" s="31" t="s">
        <v>20</v>
      </c>
      <c r="K181" s="32" t="s">
        <v>21</v>
      </c>
      <c r="L181" s="32" t="s">
        <v>22</v>
      </c>
      <c r="M181" s="32" t="s">
        <v>23</v>
      </c>
      <c r="N181" s="32" t="s">
        <v>24</v>
      </c>
      <c r="O181" s="32" t="s">
        <v>25</v>
      </c>
      <c r="P181" s="32" t="s">
        <v>26</v>
      </c>
      <c r="Q181" s="32" t="s">
        <v>27</v>
      </c>
      <c r="R181" s="5"/>
      <c r="S181" s="31" t="s">
        <v>20</v>
      </c>
      <c r="T181" s="32" t="s">
        <v>21</v>
      </c>
      <c r="U181" s="32" t="s">
        <v>22</v>
      </c>
      <c r="V181" s="32" t="s">
        <v>23</v>
      </c>
      <c r="W181" s="32" t="s">
        <v>24</v>
      </c>
      <c r="X181" s="32" t="s">
        <v>25</v>
      </c>
      <c r="Y181" s="32" t="s">
        <v>26</v>
      </c>
      <c r="Z181" s="32" t="s">
        <v>27</v>
      </c>
      <c r="AA181" s="5"/>
      <c r="AB181" s="31" t="s">
        <v>20</v>
      </c>
      <c r="AC181" s="32" t="s">
        <v>21</v>
      </c>
      <c r="AD181" s="32" t="s">
        <v>22</v>
      </c>
      <c r="AE181" s="32" t="s">
        <v>23</v>
      </c>
      <c r="AF181" s="32" t="s">
        <v>24</v>
      </c>
      <c r="AG181" s="32" t="s">
        <v>25</v>
      </c>
      <c r="AH181" s="32" t="s">
        <v>26</v>
      </c>
      <c r="AI181" s="32" t="s">
        <v>27</v>
      </c>
    </row>
    <row r="182">
      <c r="A182" s="33" t="s">
        <v>28</v>
      </c>
      <c r="B182" s="34" t="s">
        <v>21</v>
      </c>
      <c r="C182" s="83"/>
      <c r="D182" s="83"/>
      <c r="E182" s="83"/>
      <c r="F182" s="83"/>
      <c r="G182" s="83"/>
      <c r="H182" s="83"/>
      <c r="I182" s="5"/>
      <c r="J182" s="33" t="s">
        <v>28</v>
      </c>
      <c r="K182" s="34" t="s">
        <v>21</v>
      </c>
      <c r="L182" s="83"/>
      <c r="M182" s="83"/>
      <c r="N182" s="83"/>
      <c r="O182" s="83"/>
      <c r="P182" s="83"/>
      <c r="Q182" s="83"/>
      <c r="R182" s="5"/>
      <c r="S182" s="35" t="s">
        <v>28</v>
      </c>
      <c r="T182" s="34" t="s">
        <v>21</v>
      </c>
      <c r="U182" s="83"/>
      <c r="V182" s="83"/>
      <c r="W182" s="83"/>
      <c r="X182" s="83"/>
      <c r="Y182" s="83"/>
      <c r="Z182" s="83"/>
      <c r="AA182" s="5"/>
      <c r="AB182" s="35" t="s">
        <v>28</v>
      </c>
      <c r="AC182" s="34" t="s">
        <v>21</v>
      </c>
      <c r="AD182" s="83"/>
      <c r="AE182" s="83"/>
      <c r="AF182" s="83"/>
      <c r="AG182" s="83"/>
      <c r="AH182" s="83"/>
      <c r="AI182" s="83"/>
    </row>
    <row r="183">
      <c r="A183" s="38"/>
      <c r="B183" s="34" t="s">
        <v>30</v>
      </c>
      <c r="C183" s="83"/>
      <c r="D183" s="83"/>
      <c r="E183" s="83"/>
      <c r="F183" s="83"/>
      <c r="G183" s="83"/>
      <c r="H183" s="83"/>
      <c r="I183" s="37" t="s">
        <v>31</v>
      </c>
      <c r="J183" s="38"/>
      <c r="K183" s="34" t="s">
        <v>30</v>
      </c>
      <c r="L183" s="83"/>
      <c r="M183" s="83"/>
      <c r="N183" s="83"/>
      <c r="O183" s="83"/>
      <c r="P183" s="83"/>
      <c r="Q183" s="83"/>
      <c r="R183" s="5"/>
      <c r="S183" s="38"/>
      <c r="T183" s="34" t="s">
        <v>30</v>
      </c>
      <c r="U183" s="83"/>
      <c r="V183" s="83"/>
      <c r="W183" s="83"/>
      <c r="X183" s="83"/>
      <c r="Y183" s="83"/>
      <c r="Z183" s="83"/>
      <c r="AA183" s="5"/>
      <c r="AB183" s="38"/>
      <c r="AC183" s="34" t="s">
        <v>30</v>
      </c>
      <c r="AD183" s="83"/>
      <c r="AE183" s="83"/>
      <c r="AF183" s="83"/>
      <c r="AG183" s="83"/>
      <c r="AH183" s="83"/>
      <c r="AI183" s="83"/>
    </row>
    <row r="184">
      <c r="A184" s="39"/>
      <c r="B184" s="40" t="s">
        <v>33</v>
      </c>
      <c r="C184" s="83"/>
      <c r="D184" s="83"/>
      <c r="E184" s="83"/>
      <c r="F184" s="83"/>
      <c r="G184" s="83"/>
      <c r="H184" s="83"/>
      <c r="I184" s="5"/>
      <c r="J184" s="39"/>
      <c r="K184" s="40" t="s">
        <v>33</v>
      </c>
      <c r="L184" s="83"/>
      <c r="M184" s="83"/>
      <c r="N184" s="83"/>
      <c r="O184" s="83"/>
      <c r="P184" s="83"/>
      <c r="Q184" s="83"/>
      <c r="R184" s="5"/>
      <c r="S184" s="39"/>
      <c r="T184" s="40" t="s">
        <v>33</v>
      </c>
      <c r="U184" s="83"/>
      <c r="V184" s="83"/>
      <c r="W184" s="83"/>
      <c r="X184" s="83"/>
      <c r="Y184" s="83"/>
      <c r="Z184" s="83"/>
      <c r="AA184" s="5"/>
      <c r="AB184" s="39"/>
      <c r="AC184" s="40" t="s">
        <v>33</v>
      </c>
      <c r="AD184" s="83"/>
      <c r="AE184" s="83"/>
      <c r="AF184" s="83"/>
      <c r="AG184" s="83"/>
      <c r="AH184" s="83"/>
      <c r="AI184" s="83"/>
    </row>
    <row r="185">
      <c r="A185" s="41">
        <f>COUNTIF(C182:H205,"=1")/6</f>
        <v>0</v>
      </c>
      <c r="B185" s="40" t="s">
        <v>34</v>
      </c>
      <c r="C185" s="83"/>
      <c r="D185" s="83"/>
      <c r="E185" s="83"/>
      <c r="F185" s="83"/>
      <c r="G185" s="83"/>
      <c r="H185" s="83"/>
      <c r="I185" s="5"/>
      <c r="J185" s="41">
        <f>COUNTIF(L182:Q205,"=1")/6</f>
        <v>0</v>
      </c>
      <c r="K185" s="40" t="s">
        <v>34</v>
      </c>
      <c r="L185" s="83"/>
      <c r="M185" s="83"/>
      <c r="N185" s="83"/>
      <c r="O185" s="83"/>
      <c r="P185" s="83"/>
      <c r="Q185" s="83"/>
      <c r="R185" s="5"/>
      <c r="S185" s="41">
        <f>COUNTIF(U182:Z205,"=1")/6</f>
        <v>0</v>
      </c>
      <c r="T185" s="40" t="s">
        <v>34</v>
      </c>
      <c r="U185" s="83"/>
      <c r="V185" s="83"/>
      <c r="W185" s="83"/>
      <c r="X185" s="83"/>
      <c r="Y185" s="83"/>
      <c r="Z185" s="83"/>
      <c r="AA185" s="5"/>
      <c r="AB185" s="41">
        <f>COUNTIF(AD182:AI205,"=1")/6</f>
        <v>0</v>
      </c>
      <c r="AC185" s="40" t="s">
        <v>34</v>
      </c>
      <c r="AD185" s="83"/>
      <c r="AE185" s="83"/>
      <c r="AF185" s="83"/>
      <c r="AG185" s="83"/>
      <c r="AH185" s="83"/>
      <c r="AI185" s="83"/>
    </row>
    <row r="186">
      <c r="A186" s="42" t="s">
        <v>35</v>
      </c>
      <c r="B186" s="40" t="s">
        <v>36</v>
      </c>
      <c r="C186" s="83"/>
      <c r="D186" s="83"/>
      <c r="E186" s="83"/>
      <c r="F186" s="83"/>
      <c r="G186" s="83"/>
      <c r="H186" s="83"/>
      <c r="I186" s="5"/>
      <c r="J186" s="42" t="s">
        <v>35</v>
      </c>
      <c r="K186" s="40" t="s">
        <v>36</v>
      </c>
      <c r="L186" s="83"/>
      <c r="M186" s="83"/>
      <c r="N186" s="83"/>
      <c r="O186" s="83"/>
      <c r="P186" s="83"/>
      <c r="Q186" s="83"/>
      <c r="R186" s="5"/>
      <c r="S186" s="42" t="s">
        <v>35</v>
      </c>
      <c r="T186" s="40" t="s">
        <v>36</v>
      </c>
      <c r="U186" s="83"/>
      <c r="V186" s="83"/>
      <c r="W186" s="83"/>
      <c r="X186" s="83"/>
      <c r="Y186" s="83"/>
      <c r="Z186" s="83"/>
      <c r="AA186" s="5"/>
      <c r="AB186" s="42" t="s">
        <v>35</v>
      </c>
      <c r="AC186" s="40" t="s">
        <v>36</v>
      </c>
      <c r="AD186" s="83"/>
      <c r="AE186" s="83"/>
      <c r="AF186" s="83"/>
      <c r="AG186" s="83"/>
      <c r="AH186" s="83"/>
      <c r="AI186" s="83"/>
    </row>
    <row r="187">
      <c r="A187" s="68"/>
      <c r="B187" s="34" t="s">
        <v>38</v>
      </c>
      <c r="C187" s="83"/>
      <c r="D187" s="83"/>
      <c r="E187" s="83"/>
      <c r="F187" s="83"/>
      <c r="G187" s="85"/>
      <c r="H187" s="83"/>
      <c r="I187" s="5"/>
      <c r="J187" s="68"/>
      <c r="K187" s="34" t="s">
        <v>38</v>
      </c>
      <c r="L187" s="83"/>
      <c r="M187" s="83"/>
      <c r="N187" s="83"/>
      <c r="O187" s="83"/>
      <c r="P187" s="85"/>
      <c r="Q187" s="83"/>
      <c r="R187" s="5"/>
      <c r="S187" s="68"/>
      <c r="T187" s="34" t="s">
        <v>38</v>
      </c>
      <c r="U187" s="83"/>
      <c r="V187" s="83"/>
      <c r="W187" s="83"/>
      <c r="X187" s="83"/>
      <c r="Y187" s="85"/>
      <c r="Z187" s="83"/>
      <c r="AA187" s="5"/>
      <c r="AB187" s="68"/>
      <c r="AC187" s="34" t="s">
        <v>38</v>
      </c>
      <c r="AD187" s="83"/>
      <c r="AE187" s="83"/>
      <c r="AF187" s="83"/>
      <c r="AG187" s="83"/>
      <c r="AH187" s="85"/>
      <c r="AI187" s="83"/>
    </row>
    <row r="188">
      <c r="A188" s="39"/>
      <c r="B188" s="40" t="s">
        <v>42</v>
      </c>
      <c r="C188" s="83"/>
      <c r="D188" s="83"/>
      <c r="E188" s="83"/>
      <c r="F188" s="83"/>
      <c r="G188" s="83"/>
      <c r="H188" s="83"/>
      <c r="I188" s="5"/>
      <c r="J188" s="39"/>
      <c r="K188" s="40" t="s">
        <v>42</v>
      </c>
      <c r="L188" s="83"/>
      <c r="M188" s="83"/>
      <c r="N188" s="83"/>
      <c r="O188" s="83"/>
      <c r="P188" s="83"/>
      <c r="Q188" s="83"/>
      <c r="R188" s="5"/>
      <c r="S188" s="39"/>
      <c r="T188" s="40" t="s">
        <v>42</v>
      </c>
      <c r="U188" s="83"/>
      <c r="V188" s="83"/>
      <c r="W188" s="83"/>
      <c r="X188" s="83"/>
      <c r="Y188" s="83"/>
      <c r="Z188" s="83"/>
      <c r="AA188" s="5"/>
      <c r="AB188" s="39"/>
      <c r="AC188" s="40" t="s">
        <v>42</v>
      </c>
      <c r="AD188" s="83"/>
      <c r="AE188" s="83"/>
      <c r="AF188" s="83"/>
      <c r="AG188" s="83"/>
      <c r="AH188" s="83"/>
      <c r="AI188" s="83"/>
    </row>
    <row r="189">
      <c r="A189" s="41">
        <f>COUNTIF(C182:H205,"=2")/6</f>
        <v>0</v>
      </c>
      <c r="B189" s="40" t="s">
        <v>43</v>
      </c>
      <c r="C189" s="83"/>
      <c r="D189" s="83"/>
      <c r="E189" s="83"/>
      <c r="F189" s="83"/>
      <c r="G189" s="83"/>
      <c r="H189" s="83"/>
      <c r="I189" s="5"/>
      <c r="J189" s="41">
        <f>COUNTIF(L182:Q205,"=2")/6</f>
        <v>0</v>
      </c>
      <c r="K189" s="40" t="s">
        <v>43</v>
      </c>
      <c r="L189" s="83"/>
      <c r="M189" s="83"/>
      <c r="N189" s="83"/>
      <c r="O189" s="83"/>
      <c r="P189" s="83"/>
      <c r="Q189" s="83"/>
      <c r="R189" s="5"/>
      <c r="S189" s="41">
        <f>COUNTIF(U182:Z205,"=2")/6</f>
        <v>0</v>
      </c>
      <c r="T189" s="40" t="s">
        <v>43</v>
      </c>
      <c r="U189" s="83"/>
      <c r="V189" s="83"/>
      <c r="W189" s="83"/>
      <c r="X189" s="83"/>
      <c r="Y189" s="83"/>
      <c r="Z189" s="83"/>
      <c r="AA189" s="5"/>
      <c r="AB189" s="41">
        <f>COUNTIF(AD182:AI205,"=2")/6</f>
        <v>0</v>
      </c>
      <c r="AC189" s="40" t="s">
        <v>43</v>
      </c>
      <c r="AD189" s="83"/>
      <c r="AE189" s="83"/>
      <c r="AF189" s="83"/>
      <c r="AG189" s="83"/>
      <c r="AH189" s="83"/>
      <c r="AI189" s="83"/>
    </row>
    <row r="190">
      <c r="A190" s="44" t="s">
        <v>44</v>
      </c>
      <c r="B190" s="40" t="s">
        <v>45</v>
      </c>
      <c r="C190" s="83"/>
      <c r="D190" s="83"/>
      <c r="E190" s="83"/>
      <c r="F190" s="83"/>
      <c r="G190" s="83"/>
      <c r="H190" s="83"/>
      <c r="I190" s="5"/>
      <c r="J190" s="44" t="s">
        <v>44</v>
      </c>
      <c r="K190" s="40" t="s">
        <v>45</v>
      </c>
      <c r="L190" s="83"/>
      <c r="M190" s="83"/>
      <c r="N190" s="83"/>
      <c r="O190" s="83"/>
      <c r="P190" s="83"/>
      <c r="Q190" s="83"/>
      <c r="R190" s="5"/>
      <c r="S190" s="44" t="s">
        <v>44</v>
      </c>
      <c r="T190" s="40" t="s">
        <v>45</v>
      </c>
      <c r="U190" s="83"/>
      <c r="V190" s="83"/>
      <c r="W190" s="83"/>
      <c r="X190" s="83"/>
      <c r="Y190" s="83"/>
      <c r="Z190" s="83"/>
      <c r="AA190" s="5"/>
      <c r="AB190" s="44" t="s">
        <v>44</v>
      </c>
      <c r="AC190" s="40" t="s">
        <v>45</v>
      </c>
      <c r="AD190" s="83"/>
      <c r="AE190" s="83"/>
      <c r="AF190" s="83"/>
      <c r="AG190" s="83"/>
      <c r="AH190" s="83"/>
      <c r="AI190" s="83"/>
    </row>
    <row r="191">
      <c r="A191" s="38"/>
      <c r="B191" s="34" t="s">
        <v>47</v>
      </c>
      <c r="C191" s="83"/>
      <c r="D191" s="83"/>
      <c r="E191" s="83"/>
      <c r="F191" s="83"/>
      <c r="G191" s="83"/>
      <c r="H191" s="83"/>
      <c r="I191" s="5"/>
      <c r="J191" s="38"/>
      <c r="K191" s="34" t="s">
        <v>47</v>
      </c>
      <c r="L191" s="83"/>
      <c r="M191" s="83"/>
      <c r="N191" s="83"/>
      <c r="O191" s="83"/>
      <c r="P191" s="83"/>
      <c r="Q191" s="83"/>
      <c r="R191" s="5"/>
      <c r="S191" s="38"/>
      <c r="T191" s="34" t="s">
        <v>47</v>
      </c>
      <c r="U191" s="83"/>
      <c r="V191" s="83"/>
      <c r="W191" s="83"/>
      <c r="X191" s="83"/>
      <c r="Y191" s="83"/>
      <c r="Z191" s="83"/>
      <c r="AA191" s="5"/>
      <c r="AB191" s="38"/>
      <c r="AC191" s="34" t="s">
        <v>47</v>
      </c>
      <c r="AD191" s="83"/>
      <c r="AE191" s="83"/>
      <c r="AF191" s="83"/>
      <c r="AG191" s="83"/>
      <c r="AH191" s="83"/>
      <c r="AI191" s="83"/>
    </row>
    <row r="192">
      <c r="A192" s="39"/>
      <c r="B192" s="40" t="s">
        <v>22</v>
      </c>
      <c r="C192" s="83"/>
      <c r="D192" s="83"/>
      <c r="E192" s="83"/>
      <c r="F192" s="83"/>
      <c r="G192" s="83"/>
      <c r="H192" s="83"/>
      <c r="I192" s="5"/>
      <c r="J192" s="39"/>
      <c r="K192" s="40" t="s">
        <v>22</v>
      </c>
      <c r="L192" s="83"/>
      <c r="M192" s="83"/>
      <c r="N192" s="83"/>
      <c r="O192" s="83"/>
      <c r="P192" s="83"/>
      <c r="Q192" s="83"/>
      <c r="R192" s="5"/>
      <c r="S192" s="39"/>
      <c r="T192" s="40" t="s">
        <v>22</v>
      </c>
      <c r="U192" s="83"/>
      <c r="V192" s="83"/>
      <c r="W192" s="83"/>
      <c r="X192" s="83"/>
      <c r="Y192" s="83"/>
      <c r="Z192" s="83"/>
      <c r="AA192" s="5"/>
      <c r="AB192" s="39"/>
      <c r="AC192" s="40" t="s">
        <v>22</v>
      </c>
      <c r="AD192" s="83"/>
      <c r="AE192" s="83"/>
      <c r="AF192" s="83"/>
      <c r="AG192" s="83"/>
      <c r="AH192" s="83"/>
      <c r="AI192" s="83"/>
    </row>
    <row r="193">
      <c r="A193" s="41">
        <f>COUNTIF(C182:H205,"=3")/6</f>
        <v>0</v>
      </c>
      <c r="B193" s="40" t="s">
        <v>50</v>
      </c>
      <c r="C193" s="83"/>
      <c r="D193" s="83"/>
      <c r="E193" s="83"/>
      <c r="F193" s="83"/>
      <c r="G193" s="83"/>
      <c r="H193" s="83"/>
      <c r="I193" s="5"/>
      <c r="J193" s="41">
        <f>COUNTIF(L182:Q205,"=3")/6</f>
        <v>0</v>
      </c>
      <c r="K193" s="40" t="s">
        <v>50</v>
      </c>
      <c r="L193" s="83"/>
      <c r="M193" s="83"/>
      <c r="N193" s="83"/>
      <c r="O193" s="83"/>
      <c r="P193" s="83"/>
      <c r="Q193" s="83"/>
      <c r="R193" s="5"/>
      <c r="S193" s="41">
        <f>COUNTIF(U182:Z205,"=3")/6</f>
        <v>0</v>
      </c>
      <c r="T193" s="40" t="s">
        <v>50</v>
      </c>
      <c r="U193" s="83"/>
      <c r="V193" s="83"/>
      <c r="W193" s="83"/>
      <c r="X193" s="83"/>
      <c r="Y193" s="83"/>
      <c r="Z193" s="83"/>
      <c r="AA193" s="5"/>
      <c r="AB193" s="41">
        <f>COUNTIF(AD182:AI205,"=3")/6</f>
        <v>0</v>
      </c>
      <c r="AC193" s="40" t="s">
        <v>50</v>
      </c>
      <c r="AD193" s="83"/>
      <c r="AE193" s="83"/>
      <c r="AF193" s="83"/>
      <c r="AG193" s="83"/>
      <c r="AH193" s="83"/>
      <c r="AI193" s="83"/>
    </row>
    <row r="194">
      <c r="A194" s="45" t="s">
        <v>51</v>
      </c>
      <c r="B194" s="40" t="s">
        <v>52</v>
      </c>
      <c r="C194" s="83"/>
      <c r="D194" s="83"/>
      <c r="E194" s="83"/>
      <c r="F194" s="83"/>
      <c r="G194" s="83"/>
      <c r="H194" s="83"/>
      <c r="I194" s="5"/>
      <c r="J194" s="45" t="s">
        <v>51</v>
      </c>
      <c r="K194" s="40" t="s">
        <v>52</v>
      </c>
      <c r="L194" s="83"/>
      <c r="M194" s="83"/>
      <c r="N194" s="83"/>
      <c r="O194" s="83"/>
      <c r="P194" s="83"/>
      <c r="Q194" s="83"/>
      <c r="R194" s="5"/>
      <c r="S194" s="45" t="s">
        <v>51</v>
      </c>
      <c r="T194" s="40" t="s">
        <v>52</v>
      </c>
      <c r="U194" s="83"/>
      <c r="V194" s="83"/>
      <c r="W194" s="83"/>
      <c r="X194" s="83"/>
      <c r="Y194" s="83"/>
      <c r="Z194" s="83"/>
      <c r="AA194" s="5"/>
      <c r="AB194" s="45" t="s">
        <v>51</v>
      </c>
      <c r="AC194" s="40" t="s">
        <v>52</v>
      </c>
      <c r="AD194" s="83"/>
      <c r="AE194" s="83"/>
      <c r="AF194" s="83"/>
      <c r="AG194" s="83"/>
      <c r="AH194" s="83"/>
      <c r="AI194" s="83"/>
    </row>
    <row r="195">
      <c r="A195" s="38"/>
      <c r="B195" s="34" t="s">
        <v>54</v>
      </c>
      <c r="C195" s="83"/>
      <c r="D195" s="83"/>
      <c r="E195" s="83"/>
      <c r="F195" s="83"/>
      <c r="G195" s="83"/>
      <c r="H195" s="83"/>
      <c r="I195" s="5"/>
      <c r="J195" s="38"/>
      <c r="K195" s="34" t="s">
        <v>54</v>
      </c>
      <c r="L195" s="83"/>
      <c r="M195" s="83"/>
      <c r="N195" s="83"/>
      <c r="O195" s="83"/>
      <c r="P195" s="83"/>
      <c r="Q195" s="83"/>
      <c r="R195" s="5"/>
      <c r="S195" s="38"/>
      <c r="T195" s="34" t="s">
        <v>54</v>
      </c>
      <c r="U195" s="83"/>
      <c r="V195" s="83"/>
      <c r="W195" s="83"/>
      <c r="X195" s="83"/>
      <c r="Y195" s="83"/>
      <c r="Z195" s="83"/>
      <c r="AA195" s="5"/>
      <c r="AB195" s="38"/>
      <c r="AC195" s="34" t="s">
        <v>54</v>
      </c>
      <c r="AD195" s="83"/>
      <c r="AE195" s="83"/>
      <c r="AF195" s="83"/>
      <c r="AG195" s="83"/>
      <c r="AH195" s="83"/>
      <c r="AI195" s="83"/>
    </row>
    <row r="196">
      <c r="A196" s="46"/>
      <c r="B196" s="40" t="s">
        <v>58</v>
      </c>
      <c r="C196" s="83"/>
      <c r="D196" s="83"/>
      <c r="E196" s="83"/>
      <c r="F196" s="83"/>
      <c r="G196" s="83"/>
      <c r="H196" s="83"/>
      <c r="I196" s="5"/>
      <c r="J196" s="46"/>
      <c r="K196" s="40" t="s">
        <v>58</v>
      </c>
      <c r="L196" s="83"/>
      <c r="M196" s="83"/>
      <c r="N196" s="83"/>
      <c r="O196" s="83"/>
      <c r="P196" s="83"/>
      <c r="Q196" s="83"/>
      <c r="R196" s="5"/>
      <c r="S196" s="46"/>
      <c r="T196" s="40" t="s">
        <v>58</v>
      </c>
      <c r="U196" s="83"/>
      <c r="V196" s="83"/>
      <c r="W196" s="83"/>
      <c r="X196" s="83"/>
      <c r="Y196" s="83"/>
      <c r="Z196" s="83"/>
      <c r="AA196" s="5"/>
      <c r="AB196" s="46"/>
      <c r="AC196" s="40" t="s">
        <v>58</v>
      </c>
      <c r="AD196" s="83"/>
      <c r="AE196" s="83"/>
      <c r="AF196" s="83"/>
      <c r="AG196" s="83"/>
      <c r="AH196" s="83"/>
      <c r="AI196" s="83"/>
    </row>
    <row r="197">
      <c r="A197" s="41">
        <f>COUNTIF(C182:H205,"=4")/6</f>
        <v>0</v>
      </c>
      <c r="B197" s="40" t="s">
        <v>59</v>
      </c>
      <c r="C197" s="83"/>
      <c r="D197" s="83"/>
      <c r="E197" s="83"/>
      <c r="F197" s="83"/>
      <c r="G197" s="83"/>
      <c r="H197" s="83"/>
      <c r="I197" s="5"/>
      <c r="J197" s="41">
        <f>COUNTIF(L182:Q205,"=4")/6</f>
        <v>0</v>
      </c>
      <c r="K197" s="40" t="s">
        <v>59</v>
      </c>
      <c r="L197" s="83"/>
      <c r="M197" s="83"/>
      <c r="N197" s="83"/>
      <c r="O197" s="83"/>
      <c r="P197" s="83"/>
      <c r="Q197" s="83"/>
      <c r="R197" s="5"/>
      <c r="S197" s="41">
        <f>COUNTIF(U182:Z205,"=4")/6</f>
        <v>0</v>
      </c>
      <c r="T197" s="40" t="s">
        <v>59</v>
      </c>
      <c r="U197" s="83"/>
      <c r="V197" s="83"/>
      <c r="W197" s="83"/>
      <c r="X197" s="83"/>
      <c r="Y197" s="83"/>
      <c r="Z197" s="83"/>
      <c r="AA197" s="5"/>
      <c r="AB197" s="41">
        <f>COUNTIF(AD182:AI205,"=4")/6</f>
        <v>0</v>
      </c>
      <c r="AC197" s="40" t="s">
        <v>59</v>
      </c>
      <c r="AD197" s="83"/>
      <c r="AE197" s="83"/>
      <c r="AF197" s="83"/>
      <c r="AG197" s="83"/>
      <c r="AH197" s="83"/>
      <c r="AI197" s="83"/>
    </row>
    <row r="198">
      <c r="A198" s="47" t="s">
        <v>60</v>
      </c>
      <c r="B198" s="40" t="s">
        <v>61</v>
      </c>
      <c r="C198" s="83"/>
      <c r="D198" s="83"/>
      <c r="E198" s="83"/>
      <c r="F198" s="83"/>
      <c r="G198" s="83"/>
      <c r="H198" s="83"/>
      <c r="I198" s="5"/>
      <c r="J198" s="47" t="s">
        <v>60</v>
      </c>
      <c r="K198" s="40" t="s">
        <v>61</v>
      </c>
      <c r="L198" s="83"/>
      <c r="M198" s="83"/>
      <c r="N198" s="83"/>
      <c r="O198" s="83"/>
      <c r="P198" s="83"/>
      <c r="Q198" s="83"/>
      <c r="R198" s="5"/>
      <c r="S198" s="47" t="s">
        <v>60</v>
      </c>
      <c r="T198" s="40" t="s">
        <v>61</v>
      </c>
      <c r="U198" s="83"/>
      <c r="V198" s="83"/>
      <c r="W198" s="83"/>
      <c r="X198" s="83"/>
      <c r="Y198" s="83"/>
      <c r="Z198" s="83"/>
      <c r="AA198" s="5"/>
      <c r="AB198" s="47" t="s">
        <v>60</v>
      </c>
      <c r="AC198" s="40" t="s">
        <v>61</v>
      </c>
      <c r="AD198" s="83"/>
      <c r="AE198" s="83"/>
      <c r="AF198" s="83"/>
      <c r="AG198" s="83"/>
      <c r="AH198" s="83"/>
      <c r="AI198" s="83"/>
    </row>
    <row r="199">
      <c r="A199" s="38"/>
      <c r="B199" s="34" t="s">
        <v>63</v>
      </c>
      <c r="C199" s="83"/>
      <c r="D199" s="83"/>
      <c r="E199" s="83"/>
      <c r="F199" s="83"/>
      <c r="G199" s="83"/>
      <c r="H199" s="83"/>
      <c r="I199" s="5"/>
      <c r="J199" s="38"/>
      <c r="K199" s="34" t="s">
        <v>63</v>
      </c>
      <c r="L199" s="83"/>
      <c r="M199" s="83"/>
      <c r="N199" s="83"/>
      <c r="O199" s="83"/>
      <c r="P199" s="83"/>
      <c r="Q199" s="83"/>
      <c r="R199" s="5"/>
      <c r="S199" s="38"/>
      <c r="T199" s="34" t="s">
        <v>63</v>
      </c>
      <c r="U199" s="83"/>
      <c r="V199" s="83"/>
      <c r="W199" s="83"/>
      <c r="X199" s="83"/>
      <c r="Y199" s="83"/>
      <c r="Z199" s="83"/>
      <c r="AA199" s="5"/>
      <c r="AB199" s="38"/>
      <c r="AC199" s="34" t="s">
        <v>63</v>
      </c>
      <c r="AD199" s="83"/>
      <c r="AE199" s="83"/>
      <c r="AF199" s="83"/>
      <c r="AG199" s="83"/>
      <c r="AH199" s="83"/>
      <c r="AI199" s="83"/>
    </row>
    <row r="200">
      <c r="A200" s="46"/>
      <c r="B200" s="40" t="s">
        <v>67</v>
      </c>
      <c r="C200" s="83"/>
      <c r="D200" s="83"/>
      <c r="E200" s="83"/>
      <c r="F200" s="83"/>
      <c r="G200" s="83"/>
      <c r="H200" s="83"/>
      <c r="I200" s="5"/>
      <c r="J200" s="46"/>
      <c r="K200" s="40" t="s">
        <v>67</v>
      </c>
      <c r="L200" s="83"/>
      <c r="M200" s="83"/>
      <c r="N200" s="83"/>
      <c r="O200" s="83"/>
      <c r="P200" s="83"/>
      <c r="Q200" s="83"/>
      <c r="R200" s="5"/>
      <c r="S200" s="46"/>
      <c r="T200" s="40" t="s">
        <v>67</v>
      </c>
      <c r="U200" s="83"/>
      <c r="V200" s="83"/>
      <c r="W200" s="83"/>
      <c r="X200" s="83"/>
      <c r="Y200" s="83"/>
      <c r="Z200" s="83"/>
      <c r="AA200" s="5"/>
      <c r="AB200" s="46"/>
      <c r="AC200" s="40" t="s">
        <v>67</v>
      </c>
      <c r="AD200" s="83"/>
      <c r="AE200" s="83"/>
      <c r="AF200" s="83"/>
      <c r="AG200" s="83"/>
      <c r="AH200" s="83"/>
      <c r="AI200" s="83"/>
    </row>
    <row r="201">
      <c r="A201" s="41">
        <f>COUNTIF(C182:H205,"=5")/6</f>
        <v>0</v>
      </c>
      <c r="B201" s="40" t="s">
        <v>68</v>
      </c>
      <c r="C201" s="83"/>
      <c r="D201" s="83"/>
      <c r="E201" s="83"/>
      <c r="F201" s="83"/>
      <c r="G201" s="83"/>
      <c r="H201" s="83"/>
      <c r="I201" s="5"/>
      <c r="J201" s="41">
        <f>COUNTIF(L182:Q205,"=5")/6</f>
        <v>0</v>
      </c>
      <c r="K201" s="40" t="s">
        <v>68</v>
      </c>
      <c r="L201" s="83"/>
      <c r="M201" s="83"/>
      <c r="N201" s="83"/>
      <c r="O201" s="83"/>
      <c r="P201" s="83"/>
      <c r="Q201" s="83"/>
      <c r="R201" s="5"/>
      <c r="S201" s="41">
        <f>COUNTIF(U182:Z205,"=5")/6</f>
        <v>0</v>
      </c>
      <c r="T201" s="40" t="s">
        <v>68</v>
      </c>
      <c r="U201" s="83"/>
      <c r="V201" s="83"/>
      <c r="W201" s="83"/>
      <c r="X201" s="83"/>
      <c r="Y201" s="83"/>
      <c r="Z201" s="83"/>
      <c r="AA201" s="5"/>
      <c r="AB201" s="41">
        <f>COUNTIF(AD182:AI205,"=5")/6</f>
        <v>0</v>
      </c>
      <c r="AC201" s="40" t="s">
        <v>68</v>
      </c>
      <c r="AD201" s="83"/>
      <c r="AE201" s="83"/>
      <c r="AF201" s="83"/>
      <c r="AG201" s="83"/>
      <c r="AH201" s="83"/>
      <c r="AI201" s="83"/>
    </row>
    <row r="202">
      <c r="A202" s="48" t="s">
        <v>69</v>
      </c>
      <c r="B202" s="40" t="s">
        <v>23</v>
      </c>
      <c r="C202" s="83"/>
      <c r="D202" s="83"/>
      <c r="E202" s="83"/>
      <c r="F202" s="83"/>
      <c r="G202" s="83"/>
      <c r="H202" s="83"/>
      <c r="I202" s="5"/>
      <c r="J202" s="48" t="s">
        <v>69</v>
      </c>
      <c r="K202" s="40" t="s">
        <v>23</v>
      </c>
      <c r="L202" s="83"/>
      <c r="M202" s="83"/>
      <c r="N202" s="83"/>
      <c r="O202" s="83"/>
      <c r="P202" s="83"/>
      <c r="Q202" s="83"/>
      <c r="R202" s="5"/>
      <c r="S202" s="48" t="s">
        <v>69</v>
      </c>
      <c r="T202" s="40" t="s">
        <v>23</v>
      </c>
      <c r="U202" s="83"/>
      <c r="V202" s="83"/>
      <c r="W202" s="83"/>
      <c r="X202" s="83"/>
      <c r="Y202" s="83"/>
      <c r="Z202" s="83"/>
      <c r="AA202" s="5"/>
      <c r="AB202" s="48" t="s">
        <v>69</v>
      </c>
      <c r="AC202" s="40" t="s">
        <v>23</v>
      </c>
      <c r="AD202" s="83"/>
      <c r="AE202" s="83"/>
      <c r="AF202" s="83"/>
      <c r="AG202" s="83"/>
      <c r="AH202" s="83"/>
      <c r="AI202" s="83"/>
    </row>
    <row r="203">
      <c r="A203" s="46"/>
      <c r="B203" s="34" t="s">
        <v>70</v>
      </c>
      <c r="C203" s="83"/>
      <c r="D203" s="83"/>
      <c r="E203" s="83"/>
      <c r="F203" s="83"/>
      <c r="G203" s="83"/>
      <c r="H203" s="83"/>
      <c r="I203" s="5"/>
      <c r="J203" s="46"/>
      <c r="K203" s="34" t="s">
        <v>70</v>
      </c>
      <c r="L203" s="83"/>
      <c r="M203" s="83"/>
      <c r="N203" s="83"/>
      <c r="O203" s="83"/>
      <c r="P203" s="83"/>
      <c r="Q203" s="83"/>
      <c r="R203" s="5"/>
      <c r="S203" s="46"/>
      <c r="T203" s="34" t="s">
        <v>70</v>
      </c>
      <c r="U203" s="83"/>
      <c r="V203" s="83"/>
      <c r="W203" s="83"/>
      <c r="X203" s="83"/>
      <c r="Y203" s="83"/>
      <c r="Z203" s="83"/>
      <c r="AA203" s="5"/>
      <c r="AB203" s="46"/>
      <c r="AC203" s="34" t="s">
        <v>70</v>
      </c>
      <c r="AD203" s="83"/>
      <c r="AE203" s="83"/>
      <c r="AF203" s="83"/>
      <c r="AG203" s="83"/>
      <c r="AH203" s="83"/>
      <c r="AI203" s="83"/>
    </row>
    <row r="204">
      <c r="A204" s="39"/>
      <c r="B204" s="34" t="s">
        <v>72</v>
      </c>
      <c r="C204" s="83"/>
      <c r="D204" s="83"/>
      <c r="E204" s="83"/>
      <c r="F204" s="83"/>
      <c r="G204" s="83"/>
      <c r="H204" s="83"/>
      <c r="I204" s="5"/>
      <c r="J204" s="39"/>
      <c r="K204" s="34" t="s">
        <v>72</v>
      </c>
      <c r="L204" s="83"/>
      <c r="M204" s="83"/>
      <c r="N204" s="83"/>
      <c r="O204" s="83"/>
      <c r="P204" s="83"/>
      <c r="Q204" s="83"/>
      <c r="R204" s="5"/>
      <c r="S204" s="39"/>
      <c r="T204" s="34" t="s">
        <v>72</v>
      </c>
      <c r="U204" s="83"/>
      <c r="V204" s="83"/>
      <c r="W204" s="83"/>
      <c r="X204" s="83"/>
      <c r="Y204" s="83"/>
      <c r="Z204" s="83"/>
      <c r="AA204" s="5"/>
      <c r="AB204" s="39"/>
      <c r="AC204" s="34" t="s">
        <v>72</v>
      </c>
      <c r="AD204" s="83"/>
      <c r="AE204" s="83"/>
      <c r="AF204" s="83"/>
      <c r="AG204" s="83"/>
      <c r="AH204" s="83"/>
      <c r="AI204" s="83"/>
    </row>
    <row r="205">
      <c r="A205" s="49"/>
      <c r="B205" s="34" t="s">
        <v>73</v>
      </c>
      <c r="C205" s="83"/>
      <c r="D205" s="83"/>
      <c r="E205" s="83"/>
      <c r="F205" s="83"/>
      <c r="G205" s="83"/>
      <c r="H205" s="83"/>
      <c r="I205" s="5"/>
      <c r="J205" s="49"/>
      <c r="K205" s="34" t="s">
        <v>73</v>
      </c>
      <c r="L205" s="83"/>
      <c r="M205" s="83"/>
      <c r="N205" s="83"/>
      <c r="O205" s="83"/>
      <c r="P205" s="83"/>
      <c r="Q205" s="83"/>
      <c r="R205" s="5"/>
      <c r="S205" s="49"/>
      <c r="T205" s="34" t="s">
        <v>73</v>
      </c>
      <c r="U205" s="83"/>
      <c r="V205" s="83"/>
      <c r="W205" s="83"/>
      <c r="X205" s="83"/>
      <c r="Y205" s="83"/>
      <c r="Z205" s="83"/>
      <c r="AA205" s="5"/>
      <c r="AB205" s="49"/>
      <c r="AC205" s="34" t="s">
        <v>73</v>
      </c>
      <c r="AD205" s="83"/>
      <c r="AE205" s="83"/>
      <c r="AF205" s="83"/>
      <c r="AG205" s="83"/>
      <c r="AH205" s="83"/>
      <c r="AI205" s="83"/>
    </row>
    <row r="206">
      <c r="A206" s="50">
        <f>SUM(A185,A189,A193,A197,A201)</f>
        <v>0</v>
      </c>
      <c r="B206" s="5"/>
      <c r="C206" s="5"/>
      <c r="D206" s="5"/>
      <c r="E206" s="5"/>
      <c r="F206" s="5"/>
      <c r="G206" s="5"/>
      <c r="H206" s="5"/>
      <c r="I206" s="5"/>
      <c r="J206" s="50">
        <f>SUM(J185,J189,J193,J197,J201)</f>
        <v>0</v>
      </c>
      <c r="K206" s="5"/>
      <c r="L206" s="5"/>
      <c r="M206" s="5"/>
      <c r="N206" s="5"/>
      <c r="O206" s="5"/>
      <c r="P206" s="5"/>
      <c r="Q206" s="5"/>
      <c r="R206" s="5"/>
      <c r="S206" s="50">
        <f>SUM(S185,S189,S193,S197,S201)</f>
        <v>0</v>
      </c>
      <c r="T206" s="5"/>
      <c r="U206" s="5"/>
      <c r="V206" s="5"/>
      <c r="W206" s="5"/>
      <c r="X206" s="5"/>
      <c r="Y206" s="5"/>
      <c r="Z206" s="5"/>
      <c r="AA206" s="5"/>
      <c r="AB206" s="50">
        <f>SUM(AB185,AB189,AB193,AB197,AB201)</f>
        <v>0</v>
      </c>
      <c r="AC206" s="5"/>
      <c r="AD206" s="5"/>
      <c r="AE206" s="5"/>
      <c r="AF206" s="5"/>
      <c r="AG206" s="5"/>
      <c r="AH206" s="5"/>
      <c r="AI206" s="51"/>
    </row>
    <row r="207">
      <c r="A207" s="52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1"/>
    </row>
    <row r="208">
      <c r="A208" s="53"/>
      <c r="B208" s="5"/>
      <c r="C208" s="5"/>
      <c r="D208" s="5"/>
      <c r="E208" s="5"/>
      <c r="F208" s="5"/>
      <c r="G208" s="5"/>
      <c r="H208" s="5"/>
      <c r="I208" s="5"/>
      <c r="J208" s="37"/>
      <c r="K208" s="5"/>
      <c r="L208" s="5"/>
      <c r="M208" s="5"/>
      <c r="N208" s="5"/>
      <c r="O208" s="5"/>
      <c r="P208" s="5"/>
      <c r="Q208" s="5"/>
      <c r="R208" s="5"/>
      <c r="S208" s="37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1"/>
    </row>
    <row r="209">
      <c r="A209" s="54" t="s">
        <v>134</v>
      </c>
      <c r="B209" s="24" t="s">
        <v>16</v>
      </c>
      <c r="C209" s="25"/>
      <c r="D209" s="76">
        <v>1.0</v>
      </c>
      <c r="E209" s="27">
        <v>2.0</v>
      </c>
      <c r="F209" s="28">
        <v>3.0</v>
      </c>
      <c r="G209" s="29">
        <v>4.0</v>
      </c>
      <c r="H209" s="30">
        <v>5.0</v>
      </c>
      <c r="I209" s="5"/>
      <c r="J209" s="54" t="s">
        <v>135</v>
      </c>
      <c r="K209" s="24" t="s">
        <v>16</v>
      </c>
      <c r="L209" s="25"/>
      <c r="M209" s="76">
        <v>1.0</v>
      </c>
      <c r="N209" s="27">
        <v>2.0</v>
      </c>
      <c r="O209" s="28">
        <v>3.0</v>
      </c>
      <c r="P209" s="29">
        <v>4.0</v>
      </c>
      <c r="Q209" s="30">
        <v>5.0</v>
      </c>
      <c r="R209" s="5"/>
      <c r="S209" s="54" t="s">
        <v>136</v>
      </c>
      <c r="T209" s="24" t="s">
        <v>16</v>
      </c>
      <c r="U209" s="25"/>
      <c r="V209" s="76">
        <v>1.0</v>
      </c>
      <c r="W209" s="27">
        <v>2.0</v>
      </c>
      <c r="X209" s="28">
        <v>3.0</v>
      </c>
      <c r="Y209" s="29">
        <v>4.0</v>
      </c>
      <c r="Z209" s="30">
        <v>5.0</v>
      </c>
      <c r="AA209" s="5"/>
      <c r="AB209" s="54" t="s">
        <v>77</v>
      </c>
      <c r="AC209" s="55" t="s">
        <v>78</v>
      </c>
      <c r="AD209" s="55" t="s">
        <v>79</v>
      </c>
      <c r="AE209" s="55" t="s">
        <v>80</v>
      </c>
      <c r="AF209" s="55" t="s">
        <v>81</v>
      </c>
      <c r="AG209" s="55" t="s">
        <v>82</v>
      </c>
      <c r="AH209" s="55" t="s">
        <v>83</v>
      </c>
      <c r="AI209" s="55" t="s">
        <v>84</v>
      </c>
    </row>
    <row r="210">
      <c r="A210" s="31" t="s">
        <v>20</v>
      </c>
      <c r="B210" s="32" t="s">
        <v>21</v>
      </c>
      <c r="C210" s="32" t="s">
        <v>22</v>
      </c>
      <c r="D210" s="32" t="s">
        <v>23</v>
      </c>
      <c r="E210" s="32" t="s">
        <v>24</v>
      </c>
      <c r="F210" s="32" t="s">
        <v>25</v>
      </c>
      <c r="G210" s="32" t="s">
        <v>26</v>
      </c>
      <c r="H210" s="32" t="s">
        <v>27</v>
      </c>
      <c r="I210" s="5"/>
      <c r="J210" s="31" t="s">
        <v>20</v>
      </c>
      <c r="K210" s="32" t="s">
        <v>21</v>
      </c>
      <c r="L210" s="32" t="s">
        <v>22</v>
      </c>
      <c r="M210" s="32" t="s">
        <v>23</v>
      </c>
      <c r="N210" s="32" t="s">
        <v>24</v>
      </c>
      <c r="O210" s="32" t="s">
        <v>25</v>
      </c>
      <c r="P210" s="32" t="s">
        <v>26</v>
      </c>
      <c r="Q210" s="32" t="s">
        <v>27</v>
      </c>
      <c r="R210" s="5"/>
      <c r="S210" s="31" t="s">
        <v>20</v>
      </c>
      <c r="T210" s="32" t="s">
        <v>21</v>
      </c>
      <c r="U210" s="32" t="s">
        <v>22</v>
      </c>
      <c r="V210" s="32" t="s">
        <v>23</v>
      </c>
      <c r="W210" s="32" t="s">
        <v>24</v>
      </c>
      <c r="X210" s="32" t="s">
        <v>25</v>
      </c>
      <c r="Y210" s="32" t="s">
        <v>26</v>
      </c>
      <c r="Z210" s="32" t="s">
        <v>27</v>
      </c>
      <c r="AA210" s="5"/>
      <c r="AB210" s="33" t="s">
        <v>85</v>
      </c>
      <c r="AC210" s="56">
        <f>A185</f>
        <v>0</v>
      </c>
      <c r="AD210" s="56">
        <f>J185</f>
        <v>0</v>
      </c>
      <c r="AE210" s="56">
        <f>S185</f>
        <v>0</v>
      </c>
      <c r="AF210" s="56">
        <f>AB185</f>
        <v>0</v>
      </c>
      <c r="AG210" s="56">
        <f>A214</f>
        <v>0</v>
      </c>
      <c r="AH210" s="56">
        <f>J214</f>
        <v>0</v>
      </c>
      <c r="AI210" s="56">
        <f>S214</f>
        <v>0</v>
      </c>
    </row>
    <row r="211">
      <c r="A211" s="33" t="s">
        <v>28</v>
      </c>
      <c r="B211" s="34" t="s">
        <v>21</v>
      </c>
      <c r="C211" s="83"/>
      <c r="D211" s="83"/>
      <c r="E211" s="83"/>
      <c r="F211" s="83"/>
      <c r="G211" s="83"/>
      <c r="H211" s="83"/>
      <c r="I211" s="5"/>
      <c r="J211" s="33" t="s">
        <v>28</v>
      </c>
      <c r="K211" s="34" t="s">
        <v>21</v>
      </c>
      <c r="L211" s="83"/>
      <c r="M211" s="83"/>
      <c r="N211" s="83"/>
      <c r="O211" s="83"/>
      <c r="P211" s="83"/>
      <c r="Q211" s="83"/>
      <c r="R211" s="5"/>
      <c r="S211" s="35" t="s">
        <v>28</v>
      </c>
      <c r="T211" s="34" t="s">
        <v>21</v>
      </c>
      <c r="U211" s="83"/>
      <c r="V211" s="83"/>
      <c r="W211" s="83"/>
      <c r="X211" s="83"/>
      <c r="Y211" s="83"/>
      <c r="Z211" s="83"/>
      <c r="AA211" s="5"/>
      <c r="AB211" s="57"/>
      <c r="AC211" s="58" t="s">
        <v>86</v>
      </c>
      <c r="AD211" s="59"/>
      <c r="AE211" s="60">
        <f>SUM(AC210:AI210)</f>
        <v>0</v>
      </c>
      <c r="AF211" s="61" t="s">
        <v>87</v>
      </c>
      <c r="AG211" s="62"/>
      <c r="AH211" s="56">
        <f>AVERAGE(AC210:AI210)</f>
        <v>0</v>
      </c>
      <c r="AI211" s="51"/>
    </row>
    <row r="212">
      <c r="A212" s="38"/>
      <c r="B212" s="34" t="s">
        <v>30</v>
      </c>
      <c r="C212" s="83"/>
      <c r="D212" s="83"/>
      <c r="E212" s="83"/>
      <c r="F212" s="83"/>
      <c r="G212" s="83"/>
      <c r="H212" s="83"/>
      <c r="I212" s="37" t="s">
        <v>31</v>
      </c>
      <c r="J212" s="38"/>
      <c r="K212" s="34" t="s">
        <v>30</v>
      </c>
      <c r="L212" s="83"/>
      <c r="M212" s="83"/>
      <c r="N212" s="83"/>
      <c r="O212" s="83"/>
      <c r="P212" s="83"/>
      <c r="Q212" s="83"/>
      <c r="R212" s="5"/>
      <c r="S212" s="38"/>
      <c r="T212" s="34" t="s">
        <v>30</v>
      </c>
      <c r="U212" s="83"/>
      <c r="V212" s="83"/>
      <c r="W212" s="83"/>
      <c r="X212" s="83"/>
      <c r="Y212" s="83"/>
      <c r="Z212" s="83"/>
      <c r="AA212" s="5"/>
      <c r="AB212" s="63" t="s">
        <v>88</v>
      </c>
      <c r="AC212" s="56">
        <f>A189</f>
        <v>0</v>
      </c>
      <c r="AD212" s="56">
        <f>J189</f>
        <v>0</v>
      </c>
      <c r="AE212" s="56">
        <f>S189</f>
        <v>0</v>
      </c>
      <c r="AF212" s="56">
        <f>AB189</f>
        <v>0</v>
      </c>
      <c r="AG212" s="56">
        <f>A218</f>
        <v>0</v>
      </c>
      <c r="AH212" s="56">
        <f>J218</f>
        <v>0</v>
      </c>
      <c r="AI212" s="56">
        <f>S218</f>
        <v>0</v>
      </c>
    </row>
    <row r="213">
      <c r="A213" s="39"/>
      <c r="B213" s="40" t="s">
        <v>33</v>
      </c>
      <c r="C213" s="83"/>
      <c r="D213" s="83"/>
      <c r="E213" s="83"/>
      <c r="F213" s="83"/>
      <c r="G213" s="83"/>
      <c r="H213" s="83"/>
      <c r="I213" s="5"/>
      <c r="J213" s="39"/>
      <c r="K213" s="40" t="s">
        <v>33</v>
      </c>
      <c r="L213" s="83"/>
      <c r="M213" s="83"/>
      <c r="N213" s="83"/>
      <c r="O213" s="83"/>
      <c r="P213" s="83"/>
      <c r="Q213" s="83"/>
      <c r="R213" s="5"/>
      <c r="S213" s="39"/>
      <c r="T213" s="40" t="s">
        <v>33</v>
      </c>
      <c r="U213" s="83"/>
      <c r="V213" s="83"/>
      <c r="W213" s="83"/>
      <c r="X213" s="83"/>
      <c r="Y213" s="83"/>
      <c r="Z213" s="83"/>
      <c r="AA213" s="5"/>
      <c r="AB213" s="64"/>
      <c r="AC213" s="58" t="s">
        <v>86</v>
      </c>
      <c r="AD213" s="59"/>
      <c r="AE213" s="60">
        <f>SUM(AC212:AI212)</f>
        <v>0</v>
      </c>
      <c r="AF213" s="61" t="s">
        <v>87</v>
      </c>
      <c r="AG213" s="62"/>
      <c r="AH213" s="56">
        <f>AVERAGE(AC212:AI212)</f>
        <v>0</v>
      </c>
      <c r="AI213" s="51"/>
    </row>
    <row r="214">
      <c r="A214" s="41">
        <f>COUNTIF(C211:H234,"=1")/6</f>
        <v>0</v>
      </c>
      <c r="B214" s="40" t="s">
        <v>34</v>
      </c>
      <c r="C214" s="83"/>
      <c r="D214" s="83"/>
      <c r="E214" s="83"/>
      <c r="F214" s="83"/>
      <c r="G214" s="83"/>
      <c r="H214" s="83"/>
      <c r="I214" s="5"/>
      <c r="J214" s="41">
        <f>COUNTIF(L211:Q234,"=1")/6</f>
        <v>0</v>
      </c>
      <c r="K214" s="40" t="s">
        <v>34</v>
      </c>
      <c r="L214" s="83"/>
      <c r="M214" s="83"/>
      <c r="N214" s="83"/>
      <c r="O214" s="83"/>
      <c r="P214" s="83"/>
      <c r="Q214" s="83"/>
      <c r="R214" s="5"/>
      <c r="S214" s="41">
        <f>COUNTIF(U211:Z234,"=1")/6</f>
        <v>0</v>
      </c>
      <c r="T214" s="40" t="s">
        <v>34</v>
      </c>
      <c r="U214" s="83"/>
      <c r="V214" s="83"/>
      <c r="W214" s="83"/>
      <c r="X214" s="83"/>
      <c r="Y214" s="83"/>
      <c r="Z214" s="83"/>
      <c r="AA214" s="5"/>
      <c r="AB214" s="65" t="s">
        <v>89</v>
      </c>
      <c r="AC214" s="56">
        <f>A193</f>
        <v>0</v>
      </c>
      <c r="AD214" s="56">
        <f>J193</f>
        <v>0</v>
      </c>
      <c r="AE214" s="66" t="str">
        <f>S195</f>
        <v/>
      </c>
      <c r="AF214" s="56">
        <f>AB193</f>
        <v>0</v>
      </c>
      <c r="AG214" s="56">
        <f>A222</f>
        <v>0</v>
      </c>
      <c r="AH214" s="56">
        <f>J222</f>
        <v>0</v>
      </c>
      <c r="AI214" s="56">
        <f>S222</f>
        <v>0</v>
      </c>
    </row>
    <row r="215">
      <c r="A215" s="42" t="s">
        <v>35</v>
      </c>
      <c r="B215" s="40" t="s">
        <v>36</v>
      </c>
      <c r="C215" s="83"/>
      <c r="D215" s="83"/>
      <c r="E215" s="83"/>
      <c r="F215" s="83"/>
      <c r="G215" s="83"/>
      <c r="H215" s="83"/>
      <c r="I215" s="5"/>
      <c r="J215" s="42" t="s">
        <v>35</v>
      </c>
      <c r="K215" s="40" t="s">
        <v>36</v>
      </c>
      <c r="L215" s="83"/>
      <c r="M215" s="83"/>
      <c r="N215" s="83"/>
      <c r="O215" s="83"/>
      <c r="P215" s="83"/>
      <c r="Q215" s="83"/>
      <c r="R215" s="5"/>
      <c r="S215" s="42" t="s">
        <v>35</v>
      </c>
      <c r="T215" s="40" t="s">
        <v>36</v>
      </c>
      <c r="U215" s="83"/>
      <c r="V215" s="83"/>
      <c r="W215" s="83"/>
      <c r="X215" s="83"/>
      <c r="Y215" s="83"/>
      <c r="Z215" s="83"/>
      <c r="AA215" s="5"/>
      <c r="AB215" s="67"/>
      <c r="AC215" s="58" t="s">
        <v>86</v>
      </c>
      <c r="AD215" s="59"/>
      <c r="AE215" s="60">
        <f>SUM(AC214:AI214)</f>
        <v>0</v>
      </c>
      <c r="AF215" s="61" t="s">
        <v>87</v>
      </c>
      <c r="AG215" s="62"/>
      <c r="AH215" s="56">
        <f>AVERAGE(AC214:AI214)</f>
        <v>0</v>
      </c>
      <c r="AI215" s="51"/>
    </row>
    <row r="216">
      <c r="A216" s="68"/>
      <c r="B216" s="34" t="s">
        <v>38</v>
      </c>
      <c r="C216" s="83"/>
      <c r="D216" s="83"/>
      <c r="E216" s="83"/>
      <c r="F216" s="83"/>
      <c r="G216" s="85"/>
      <c r="H216" s="83"/>
      <c r="I216" s="5"/>
      <c r="J216" s="68"/>
      <c r="K216" s="34" t="s">
        <v>38</v>
      </c>
      <c r="L216" s="83"/>
      <c r="M216" s="83"/>
      <c r="N216" s="83"/>
      <c r="O216" s="83"/>
      <c r="P216" s="85"/>
      <c r="Q216" s="83"/>
      <c r="R216" s="5"/>
      <c r="S216" s="68"/>
      <c r="T216" s="34" t="s">
        <v>38</v>
      </c>
      <c r="U216" s="83"/>
      <c r="V216" s="83"/>
      <c r="W216" s="83"/>
      <c r="X216" s="83"/>
      <c r="Y216" s="85"/>
      <c r="Z216" s="83"/>
      <c r="AA216" s="5"/>
      <c r="AB216" s="69" t="s">
        <v>93</v>
      </c>
      <c r="AC216" s="56">
        <f>A197</f>
        <v>0</v>
      </c>
      <c r="AD216" s="56">
        <f>J197</f>
        <v>0</v>
      </c>
      <c r="AE216" s="56">
        <f>S197</f>
        <v>0</v>
      </c>
      <c r="AF216" s="56">
        <f>AB197</f>
        <v>0</v>
      </c>
      <c r="AG216" s="56">
        <f>A226</f>
        <v>0</v>
      </c>
      <c r="AH216" s="56">
        <f>J226</f>
        <v>0</v>
      </c>
      <c r="AI216" s="56">
        <f>S226</f>
        <v>0</v>
      </c>
    </row>
    <row r="217">
      <c r="A217" s="39"/>
      <c r="B217" s="40" t="s">
        <v>42</v>
      </c>
      <c r="C217" s="83"/>
      <c r="D217" s="83"/>
      <c r="E217" s="83"/>
      <c r="F217" s="83"/>
      <c r="G217" s="83"/>
      <c r="H217" s="83"/>
      <c r="I217" s="5"/>
      <c r="J217" s="39"/>
      <c r="K217" s="40" t="s">
        <v>42</v>
      </c>
      <c r="L217" s="83"/>
      <c r="M217" s="83"/>
      <c r="N217" s="83"/>
      <c r="O217" s="83"/>
      <c r="P217" s="83"/>
      <c r="Q217" s="83"/>
      <c r="R217" s="5"/>
      <c r="S217" s="39"/>
      <c r="T217" s="40" t="s">
        <v>42</v>
      </c>
      <c r="U217" s="83"/>
      <c r="V217" s="83"/>
      <c r="W217" s="83"/>
      <c r="X217" s="83"/>
      <c r="Y217" s="83"/>
      <c r="Z217" s="83"/>
      <c r="AA217" s="5"/>
      <c r="AB217" s="71"/>
      <c r="AC217" s="58" t="s">
        <v>86</v>
      </c>
      <c r="AD217" s="59"/>
      <c r="AE217" s="60">
        <f>SUM(AC216:AI216)</f>
        <v>0</v>
      </c>
      <c r="AF217" s="61" t="s">
        <v>87</v>
      </c>
      <c r="AG217" s="62"/>
      <c r="AH217" s="56">
        <f>AVERAGE(AC216:AI216)</f>
        <v>0</v>
      </c>
      <c r="AI217" s="51"/>
    </row>
    <row r="218">
      <c r="A218" s="41">
        <f>COUNTIF(C211:H234,"=2")/6</f>
        <v>0</v>
      </c>
      <c r="B218" s="40" t="s">
        <v>43</v>
      </c>
      <c r="C218" s="83"/>
      <c r="D218" s="83"/>
      <c r="E218" s="83"/>
      <c r="F218" s="83"/>
      <c r="G218" s="83"/>
      <c r="H218" s="83"/>
      <c r="I218" s="5"/>
      <c r="J218" s="41">
        <f>COUNTIF(L211:Q234,"=2")/6</f>
        <v>0</v>
      </c>
      <c r="K218" s="40" t="s">
        <v>43</v>
      </c>
      <c r="L218" s="83"/>
      <c r="M218" s="83"/>
      <c r="N218" s="83"/>
      <c r="O218" s="83"/>
      <c r="P218" s="83"/>
      <c r="Q218" s="83"/>
      <c r="R218" s="5"/>
      <c r="S218" s="41">
        <f>COUNTIF(U211:Z234,"=2")/6</f>
        <v>0</v>
      </c>
      <c r="T218" s="40" t="s">
        <v>43</v>
      </c>
      <c r="U218" s="83"/>
      <c r="V218" s="83"/>
      <c r="W218" s="83"/>
      <c r="X218" s="83"/>
      <c r="Y218" s="83"/>
      <c r="Z218" s="83"/>
      <c r="AA218" s="5"/>
      <c r="AB218" s="47" t="s">
        <v>98</v>
      </c>
      <c r="AC218" s="56">
        <f>A201</f>
        <v>0</v>
      </c>
      <c r="AD218" s="56">
        <f>J201</f>
        <v>0</v>
      </c>
      <c r="AE218" s="56">
        <f>S201</f>
        <v>0</v>
      </c>
      <c r="AF218" s="56">
        <f>AB201</f>
        <v>0</v>
      </c>
      <c r="AG218" s="56">
        <f>A230</f>
        <v>0</v>
      </c>
      <c r="AH218" s="56">
        <f>J230</f>
        <v>0</v>
      </c>
      <c r="AI218" s="56">
        <f>S230</f>
        <v>0</v>
      </c>
    </row>
    <row r="219">
      <c r="A219" s="44" t="s">
        <v>44</v>
      </c>
      <c r="B219" s="40" t="s">
        <v>45</v>
      </c>
      <c r="C219" s="83"/>
      <c r="D219" s="83"/>
      <c r="E219" s="83"/>
      <c r="F219" s="83"/>
      <c r="G219" s="83"/>
      <c r="H219" s="83"/>
      <c r="I219" s="5"/>
      <c r="J219" s="44" t="s">
        <v>44</v>
      </c>
      <c r="K219" s="40" t="s">
        <v>45</v>
      </c>
      <c r="L219" s="83"/>
      <c r="M219" s="83"/>
      <c r="N219" s="83"/>
      <c r="O219" s="83"/>
      <c r="P219" s="83"/>
      <c r="Q219" s="83"/>
      <c r="R219" s="5"/>
      <c r="S219" s="44" t="s">
        <v>44</v>
      </c>
      <c r="T219" s="40" t="s">
        <v>45</v>
      </c>
      <c r="U219" s="83"/>
      <c r="V219" s="83"/>
      <c r="W219" s="83"/>
      <c r="X219" s="83"/>
      <c r="Y219" s="83"/>
      <c r="Z219" s="83"/>
      <c r="AA219" s="5"/>
      <c r="AB219" s="80"/>
      <c r="AC219" s="58" t="s">
        <v>86</v>
      </c>
      <c r="AD219" s="59"/>
      <c r="AE219" s="60">
        <f>SUM(AC218:AI218)</f>
        <v>0</v>
      </c>
      <c r="AF219" s="61" t="s">
        <v>87</v>
      </c>
      <c r="AG219" s="62"/>
      <c r="AH219" s="56">
        <f>AVERAGE(AC218:AI218)</f>
        <v>0</v>
      </c>
      <c r="AI219" s="82"/>
    </row>
    <row r="220">
      <c r="A220" s="38"/>
      <c r="B220" s="34" t="s">
        <v>47</v>
      </c>
      <c r="C220" s="83"/>
      <c r="D220" s="83"/>
      <c r="E220" s="83"/>
      <c r="F220" s="83"/>
      <c r="G220" s="83"/>
      <c r="H220" s="83"/>
      <c r="I220" s="5"/>
      <c r="J220" s="38"/>
      <c r="K220" s="34" t="s">
        <v>47</v>
      </c>
      <c r="L220" s="83"/>
      <c r="M220" s="83"/>
      <c r="N220" s="83"/>
      <c r="O220" s="83"/>
      <c r="P220" s="83"/>
      <c r="Q220" s="83"/>
      <c r="R220" s="5"/>
      <c r="S220" s="38"/>
      <c r="T220" s="34" t="s">
        <v>47</v>
      </c>
      <c r="U220" s="83"/>
      <c r="V220" s="83"/>
      <c r="W220" s="83"/>
      <c r="X220" s="83"/>
      <c r="Y220" s="83"/>
      <c r="Z220" s="83"/>
      <c r="AA220" s="5"/>
      <c r="AB220" s="5"/>
      <c r="AC220" s="5"/>
      <c r="AD220" s="5"/>
      <c r="AE220" s="5"/>
      <c r="AF220" s="5"/>
      <c r="AG220" s="5"/>
      <c r="AH220" s="5"/>
      <c r="AI220" s="51"/>
    </row>
    <row r="221">
      <c r="A221" s="39"/>
      <c r="B221" s="40" t="s">
        <v>22</v>
      </c>
      <c r="C221" s="83"/>
      <c r="D221" s="83"/>
      <c r="E221" s="83"/>
      <c r="F221" s="83"/>
      <c r="G221" s="83"/>
      <c r="H221" s="83"/>
      <c r="I221" s="5"/>
      <c r="J221" s="39"/>
      <c r="K221" s="40" t="s">
        <v>22</v>
      </c>
      <c r="L221" s="83"/>
      <c r="M221" s="83"/>
      <c r="N221" s="83"/>
      <c r="O221" s="83"/>
      <c r="P221" s="83"/>
      <c r="Q221" s="83"/>
      <c r="R221" s="5"/>
      <c r="S221" s="39"/>
      <c r="T221" s="40" t="s">
        <v>22</v>
      </c>
      <c r="U221" s="83"/>
      <c r="V221" s="83"/>
      <c r="W221" s="83"/>
      <c r="X221" s="83"/>
      <c r="Y221" s="83"/>
      <c r="Z221" s="83"/>
      <c r="AA221" s="5"/>
      <c r="AB221" s="5"/>
      <c r="AC221" s="5"/>
      <c r="AD221" s="5"/>
      <c r="AE221" s="5"/>
      <c r="AF221" s="5"/>
      <c r="AG221" s="5"/>
      <c r="AH221" s="5"/>
      <c r="AI221" s="51"/>
    </row>
    <row r="222">
      <c r="A222" s="41">
        <f>COUNTIF(C211:H234,"=3")/6</f>
        <v>0</v>
      </c>
      <c r="B222" s="40" t="s">
        <v>50</v>
      </c>
      <c r="C222" s="83"/>
      <c r="D222" s="83"/>
      <c r="E222" s="83"/>
      <c r="F222" s="83"/>
      <c r="G222" s="83"/>
      <c r="H222" s="83"/>
      <c r="I222" s="5"/>
      <c r="J222" s="41">
        <f>COUNTIF(L211:Q234,"=3")/6</f>
        <v>0</v>
      </c>
      <c r="K222" s="40" t="s">
        <v>50</v>
      </c>
      <c r="L222" s="83"/>
      <c r="M222" s="83"/>
      <c r="N222" s="83"/>
      <c r="O222" s="83"/>
      <c r="P222" s="83"/>
      <c r="Q222" s="83"/>
      <c r="R222" s="5"/>
      <c r="S222" s="41">
        <f>COUNTIF(U211:Z234,"=3")/6</f>
        <v>0</v>
      </c>
      <c r="T222" s="40" t="s">
        <v>50</v>
      </c>
      <c r="U222" s="83"/>
      <c r="V222" s="83"/>
      <c r="W222" s="83"/>
      <c r="X222" s="83"/>
      <c r="Y222" s="83"/>
      <c r="Z222" s="83"/>
      <c r="AA222" s="5"/>
      <c r="AB222" s="5"/>
      <c r="AC222" s="5"/>
      <c r="AD222" s="5"/>
      <c r="AE222" s="5"/>
      <c r="AF222" s="5"/>
      <c r="AG222" s="5"/>
      <c r="AH222" s="5"/>
      <c r="AI222" s="51"/>
    </row>
    <row r="223">
      <c r="A223" s="45" t="s">
        <v>51</v>
      </c>
      <c r="B223" s="40" t="s">
        <v>52</v>
      </c>
      <c r="C223" s="83"/>
      <c r="D223" s="83"/>
      <c r="E223" s="83"/>
      <c r="F223" s="83"/>
      <c r="G223" s="83"/>
      <c r="H223" s="83"/>
      <c r="I223" s="5"/>
      <c r="J223" s="45" t="s">
        <v>51</v>
      </c>
      <c r="K223" s="40" t="s">
        <v>52</v>
      </c>
      <c r="L223" s="83"/>
      <c r="M223" s="83"/>
      <c r="N223" s="83"/>
      <c r="O223" s="83"/>
      <c r="P223" s="83"/>
      <c r="Q223" s="83"/>
      <c r="R223" s="5"/>
      <c r="S223" s="45" t="s">
        <v>51</v>
      </c>
      <c r="T223" s="40" t="s">
        <v>52</v>
      </c>
      <c r="U223" s="83"/>
      <c r="V223" s="83"/>
      <c r="W223" s="83"/>
      <c r="X223" s="83"/>
      <c r="Y223" s="83"/>
      <c r="Z223" s="83"/>
      <c r="AA223" s="5"/>
      <c r="AB223" s="5"/>
      <c r="AC223" s="5"/>
      <c r="AD223" s="5"/>
      <c r="AE223" s="5"/>
      <c r="AF223" s="5"/>
      <c r="AG223" s="5"/>
      <c r="AH223" s="5"/>
      <c r="AI223" s="51"/>
    </row>
    <row r="224">
      <c r="A224" s="38"/>
      <c r="B224" s="34" t="s">
        <v>54</v>
      </c>
      <c r="C224" s="83"/>
      <c r="D224" s="83"/>
      <c r="E224" s="83"/>
      <c r="F224" s="83"/>
      <c r="G224" s="83"/>
      <c r="H224" s="83"/>
      <c r="I224" s="5"/>
      <c r="J224" s="38"/>
      <c r="K224" s="34" t="s">
        <v>54</v>
      </c>
      <c r="L224" s="83"/>
      <c r="M224" s="83"/>
      <c r="N224" s="83"/>
      <c r="O224" s="83"/>
      <c r="P224" s="83"/>
      <c r="Q224" s="83"/>
      <c r="R224" s="5"/>
      <c r="S224" s="38"/>
      <c r="T224" s="34" t="s">
        <v>54</v>
      </c>
      <c r="U224" s="83"/>
      <c r="V224" s="83"/>
      <c r="W224" s="83"/>
      <c r="X224" s="83"/>
      <c r="Y224" s="83"/>
      <c r="Z224" s="83"/>
      <c r="AA224" s="5"/>
      <c r="AB224" s="5"/>
      <c r="AC224" s="5"/>
      <c r="AD224" s="5"/>
      <c r="AE224" s="5"/>
      <c r="AF224" s="5"/>
      <c r="AG224" s="5"/>
      <c r="AH224" s="5"/>
      <c r="AI224" s="51"/>
    </row>
    <row r="225">
      <c r="A225" s="46"/>
      <c r="B225" s="40" t="s">
        <v>58</v>
      </c>
      <c r="C225" s="83"/>
      <c r="D225" s="83"/>
      <c r="E225" s="83"/>
      <c r="F225" s="83"/>
      <c r="G225" s="83"/>
      <c r="H225" s="83"/>
      <c r="I225" s="5"/>
      <c r="J225" s="46"/>
      <c r="K225" s="40" t="s">
        <v>58</v>
      </c>
      <c r="L225" s="83"/>
      <c r="M225" s="83"/>
      <c r="N225" s="83"/>
      <c r="O225" s="83"/>
      <c r="P225" s="83"/>
      <c r="Q225" s="83"/>
      <c r="R225" s="5"/>
      <c r="S225" s="46"/>
      <c r="T225" s="40" t="s">
        <v>58</v>
      </c>
      <c r="U225" s="83"/>
      <c r="V225" s="83"/>
      <c r="W225" s="83"/>
      <c r="X225" s="83"/>
      <c r="Y225" s="83"/>
      <c r="Z225" s="83"/>
      <c r="AA225" s="5"/>
      <c r="AB225" s="5"/>
      <c r="AC225" s="5"/>
      <c r="AD225" s="5"/>
      <c r="AE225" s="5"/>
      <c r="AF225" s="5"/>
      <c r="AG225" s="5"/>
      <c r="AH225" s="5"/>
      <c r="AI225" s="51"/>
    </row>
    <row r="226">
      <c r="A226" s="41">
        <f>COUNTIF(C211:H234,"=4")/6</f>
        <v>0</v>
      </c>
      <c r="B226" s="40" t="s">
        <v>59</v>
      </c>
      <c r="C226" s="83"/>
      <c r="D226" s="83"/>
      <c r="E226" s="83"/>
      <c r="F226" s="83"/>
      <c r="G226" s="83"/>
      <c r="H226" s="83"/>
      <c r="I226" s="5"/>
      <c r="J226" s="41">
        <f>COUNTIF(L211:Q234,"=4")/6</f>
        <v>0</v>
      </c>
      <c r="K226" s="40" t="s">
        <v>59</v>
      </c>
      <c r="L226" s="83"/>
      <c r="M226" s="83"/>
      <c r="N226" s="83"/>
      <c r="O226" s="83"/>
      <c r="P226" s="83"/>
      <c r="Q226" s="83"/>
      <c r="R226" s="5"/>
      <c r="S226" s="41">
        <f>COUNTIF(U211:Z234,"=4")/6</f>
        <v>0</v>
      </c>
      <c r="T226" s="40" t="s">
        <v>59</v>
      </c>
      <c r="U226" s="83"/>
      <c r="V226" s="83"/>
      <c r="W226" s="83"/>
      <c r="X226" s="83"/>
      <c r="Y226" s="83"/>
      <c r="Z226" s="83"/>
      <c r="AA226" s="5"/>
      <c r="AB226" s="5"/>
      <c r="AC226" s="5"/>
      <c r="AD226" s="5"/>
      <c r="AE226" s="5"/>
      <c r="AF226" s="5"/>
      <c r="AG226" s="5"/>
      <c r="AH226" s="5"/>
      <c r="AI226" s="51"/>
    </row>
    <row r="227">
      <c r="A227" s="47" t="s">
        <v>60</v>
      </c>
      <c r="B227" s="40" t="s">
        <v>61</v>
      </c>
      <c r="C227" s="83"/>
      <c r="D227" s="83"/>
      <c r="E227" s="83"/>
      <c r="F227" s="83"/>
      <c r="G227" s="83"/>
      <c r="H227" s="83"/>
      <c r="I227" s="5"/>
      <c r="J227" s="47" t="s">
        <v>60</v>
      </c>
      <c r="K227" s="40" t="s">
        <v>61</v>
      </c>
      <c r="L227" s="83"/>
      <c r="M227" s="83"/>
      <c r="N227" s="83"/>
      <c r="O227" s="83"/>
      <c r="P227" s="83"/>
      <c r="Q227" s="83"/>
      <c r="R227" s="5"/>
      <c r="S227" s="47" t="s">
        <v>60</v>
      </c>
      <c r="T227" s="40" t="s">
        <v>61</v>
      </c>
      <c r="U227" s="83"/>
      <c r="V227" s="83"/>
      <c r="W227" s="83"/>
      <c r="X227" s="83"/>
      <c r="Y227" s="83"/>
      <c r="Z227" s="83"/>
      <c r="AA227" s="5"/>
      <c r="AB227" s="5"/>
      <c r="AC227" s="5"/>
      <c r="AD227" s="5"/>
      <c r="AE227" s="5"/>
      <c r="AF227" s="5"/>
      <c r="AG227" s="5"/>
      <c r="AH227" s="5"/>
      <c r="AI227" s="51"/>
    </row>
    <row r="228">
      <c r="A228" s="38"/>
      <c r="B228" s="34" t="s">
        <v>63</v>
      </c>
      <c r="C228" s="83"/>
      <c r="D228" s="83"/>
      <c r="E228" s="83"/>
      <c r="F228" s="83"/>
      <c r="G228" s="83"/>
      <c r="H228" s="83"/>
      <c r="I228" s="5"/>
      <c r="J228" s="38"/>
      <c r="K228" s="34" t="s">
        <v>63</v>
      </c>
      <c r="L228" s="83"/>
      <c r="M228" s="83"/>
      <c r="N228" s="83"/>
      <c r="O228" s="83"/>
      <c r="P228" s="83"/>
      <c r="Q228" s="83"/>
      <c r="R228" s="5"/>
      <c r="S228" s="38"/>
      <c r="T228" s="34" t="s">
        <v>63</v>
      </c>
      <c r="U228" s="83"/>
      <c r="V228" s="83"/>
      <c r="W228" s="83"/>
      <c r="X228" s="83"/>
      <c r="Y228" s="83"/>
      <c r="Z228" s="83"/>
      <c r="AA228" s="5"/>
      <c r="AB228" s="5"/>
      <c r="AC228" s="5"/>
      <c r="AD228" s="5"/>
      <c r="AE228" s="5"/>
      <c r="AF228" s="5"/>
      <c r="AG228" s="5"/>
      <c r="AH228" s="5"/>
      <c r="AI228" s="51"/>
    </row>
    <row r="229">
      <c r="A229" s="46"/>
      <c r="B229" s="40" t="s">
        <v>67</v>
      </c>
      <c r="C229" s="83"/>
      <c r="D229" s="83"/>
      <c r="E229" s="83"/>
      <c r="F229" s="83"/>
      <c r="G229" s="83"/>
      <c r="H229" s="83"/>
      <c r="I229" s="5"/>
      <c r="J229" s="46"/>
      <c r="K229" s="40" t="s">
        <v>67</v>
      </c>
      <c r="L229" s="83"/>
      <c r="M229" s="83"/>
      <c r="N229" s="83"/>
      <c r="O229" s="83"/>
      <c r="P229" s="83"/>
      <c r="Q229" s="83"/>
      <c r="R229" s="5"/>
      <c r="S229" s="46"/>
      <c r="T229" s="40" t="s">
        <v>67</v>
      </c>
      <c r="U229" s="83"/>
      <c r="V229" s="83"/>
      <c r="W229" s="83"/>
      <c r="X229" s="83"/>
      <c r="Y229" s="83"/>
      <c r="Z229" s="83"/>
      <c r="AA229" s="5"/>
      <c r="AB229" s="5"/>
      <c r="AC229" s="5"/>
      <c r="AD229" s="5"/>
      <c r="AE229" s="5"/>
      <c r="AF229" s="5"/>
      <c r="AG229" s="5"/>
      <c r="AH229" s="5"/>
      <c r="AI229" s="51"/>
    </row>
    <row r="230">
      <c r="A230" s="41">
        <f>COUNTIF(C211:H234,"=5")/6</f>
        <v>0</v>
      </c>
      <c r="B230" s="40" t="s">
        <v>68</v>
      </c>
      <c r="C230" s="83"/>
      <c r="D230" s="83"/>
      <c r="E230" s="83"/>
      <c r="F230" s="83"/>
      <c r="G230" s="83"/>
      <c r="H230" s="83"/>
      <c r="I230" s="5"/>
      <c r="J230" s="41">
        <f>COUNTIF(L211:Q234,"=5")/6</f>
        <v>0</v>
      </c>
      <c r="K230" s="40" t="s">
        <v>68</v>
      </c>
      <c r="L230" s="83"/>
      <c r="M230" s="83"/>
      <c r="N230" s="83"/>
      <c r="O230" s="83"/>
      <c r="P230" s="83"/>
      <c r="Q230" s="83"/>
      <c r="R230" s="5"/>
      <c r="S230" s="41">
        <f>COUNTIF(U211:Z234,"=5")/6</f>
        <v>0</v>
      </c>
      <c r="T230" s="40" t="s">
        <v>68</v>
      </c>
      <c r="U230" s="83"/>
      <c r="V230" s="83"/>
      <c r="W230" s="83"/>
      <c r="X230" s="83"/>
      <c r="Y230" s="83"/>
      <c r="Z230" s="83"/>
      <c r="AA230" s="5"/>
      <c r="AB230" s="5"/>
      <c r="AC230" s="5"/>
      <c r="AD230" s="5"/>
      <c r="AE230" s="5"/>
      <c r="AF230" s="5"/>
      <c r="AG230" s="5"/>
      <c r="AH230" s="5"/>
      <c r="AI230" s="51"/>
    </row>
    <row r="231">
      <c r="A231" s="48" t="s">
        <v>69</v>
      </c>
      <c r="B231" s="40" t="s">
        <v>23</v>
      </c>
      <c r="C231" s="83"/>
      <c r="D231" s="83"/>
      <c r="E231" s="83"/>
      <c r="F231" s="83"/>
      <c r="G231" s="83"/>
      <c r="H231" s="83"/>
      <c r="I231" s="5"/>
      <c r="J231" s="48" t="s">
        <v>69</v>
      </c>
      <c r="K231" s="40" t="s">
        <v>23</v>
      </c>
      <c r="L231" s="83"/>
      <c r="M231" s="83"/>
      <c r="N231" s="83"/>
      <c r="O231" s="83"/>
      <c r="P231" s="83"/>
      <c r="Q231" s="83"/>
      <c r="R231" s="5"/>
      <c r="S231" s="48" t="s">
        <v>69</v>
      </c>
      <c r="T231" s="40" t="s">
        <v>23</v>
      </c>
      <c r="U231" s="83"/>
      <c r="V231" s="83"/>
      <c r="W231" s="83"/>
      <c r="X231" s="83"/>
      <c r="Y231" s="83"/>
      <c r="Z231" s="83"/>
      <c r="AA231" s="5"/>
      <c r="AB231" s="5"/>
      <c r="AC231" s="5"/>
      <c r="AD231" s="5"/>
      <c r="AE231" s="5"/>
      <c r="AF231" s="5"/>
      <c r="AG231" s="5"/>
      <c r="AH231" s="5"/>
      <c r="AI231" s="51"/>
    </row>
    <row r="232">
      <c r="A232" s="46"/>
      <c r="B232" s="34" t="s">
        <v>70</v>
      </c>
      <c r="C232" s="83"/>
      <c r="D232" s="83"/>
      <c r="E232" s="83"/>
      <c r="F232" s="83"/>
      <c r="G232" s="83"/>
      <c r="H232" s="83"/>
      <c r="I232" s="5"/>
      <c r="J232" s="46"/>
      <c r="K232" s="34" t="s">
        <v>70</v>
      </c>
      <c r="L232" s="83"/>
      <c r="M232" s="83"/>
      <c r="N232" s="83"/>
      <c r="O232" s="83"/>
      <c r="P232" s="83"/>
      <c r="Q232" s="83"/>
      <c r="R232" s="5"/>
      <c r="S232" s="46"/>
      <c r="T232" s="34" t="s">
        <v>70</v>
      </c>
      <c r="U232" s="83"/>
      <c r="V232" s="83"/>
      <c r="W232" s="83"/>
      <c r="X232" s="83"/>
      <c r="Y232" s="83"/>
      <c r="Z232" s="83"/>
      <c r="AA232" s="5"/>
      <c r="AB232" s="5"/>
      <c r="AC232" s="5"/>
      <c r="AD232" s="5"/>
      <c r="AE232" s="5"/>
      <c r="AF232" s="5"/>
      <c r="AG232" s="5"/>
      <c r="AH232" s="5"/>
      <c r="AI232" s="51"/>
    </row>
    <row r="233">
      <c r="A233" s="39"/>
      <c r="B233" s="34" t="s">
        <v>72</v>
      </c>
      <c r="C233" s="83"/>
      <c r="D233" s="83"/>
      <c r="E233" s="83"/>
      <c r="F233" s="83"/>
      <c r="G233" s="83"/>
      <c r="H233" s="83"/>
      <c r="I233" s="5"/>
      <c r="J233" s="39"/>
      <c r="K233" s="34" t="s">
        <v>72</v>
      </c>
      <c r="L233" s="83"/>
      <c r="M233" s="83"/>
      <c r="N233" s="83"/>
      <c r="O233" s="83"/>
      <c r="P233" s="83"/>
      <c r="Q233" s="83"/>
      <c r="R233" s="5"/>
      <c r="S233" s="39"/>
      <c r="T233" s="34" t="s">
        <v>72</v>
      </c>
      <c r="U233" s="83"/>
      <c r="V233" s="83"/>
      <c r="W233" s="83"/>
      <c r="X233" s="83"/>
      <c r="Y233" s="83"/>
      <c r="Z233" s="83"/>
      <c r="AA233" s="5"/>
      <c r="AB233" s="5"/>
      <c r="AC233" s="5"/>
      <c r="AD233" s="5"/>
      <c r="AE233" s="5"/>
      <c r="AF233" s="5"/>
      <c r="AG233" s="5"/>
      <c r="AH233" s="5"/>
      <c r="AI233" s="51"/>
    </row>
    <row r="234">
      <c r="A234" s="49"/>
      <c r="B234" s="34" t="s">
        <v>73</v>
      </c>
      <c r="C234" s="83"/>
      <c r="D234" s="83"/>
      <c r="E234" s="83"/>
      <c r="F234" s="83"/>
      <c r="G234" s="83"/>
      <c r="H234" s="83"/>
      <c r="I234" s="5"/>
      <c r="J234" s="49"/>
      <c r="K234" s="34" t="s">
        <v>73</v>
      </c>
      <c r="L234" s="83"/>
      <c r="M234" s="83"/>
      <c r="N234" s="83"/>
      <c r="O234" s="83"/>
      <c r="P234" s="83"/>
      <c r="Q234" s="83"/>
      <c r="R234" s="5"/>
      <c r="S234" s="49"/>
      <c r="T234" s="34" t="s">
        <v>73</v>
      </c>
      <c r="U234" s="83"/>
      <c r="V234" s="83"/>
      <c r="W234" s="83"/>
      <c r="X234" s="83"/>
      <c r="Y234" s="83"/>
      <c r="Z234" s="83"/>
      <c r="AA234" s="5"/>
      <c r="AB234" s="5"/>
      <c r="AC234" s="5"/>
      <c r="AD234" s="5"/>
      <c r="AE234" s="5"/>
      <c r="AF234" s="5"/>
      <c r="AG234" s="5"/>
      <c r="AH234" s="5"/>
      <c r="AI234" s="51"/>
    </row>
    <row r="235">
      <c r="A235" s="50">
        <f>SUM(A214,A218,A222,A226,A230)</f>
        <v>0</v>
      </c>
      <c r="B235" s="5"/>
      <c r="C235" s="5"/>
      <c r="D235" s="5"/>
      <c r="E235" s="5"/>
      <c r="F235" s="5"/>
      <c r="G235" s="5"/>
      <c r="H235" s="5"/>
      <c r="I235" s="5"/>
      <c r="J235" s="50">
        <f>SUM(J214,J218,J222,J226,J230)</f>
        <v>0</v>
      </c>
      <c r="K235" s="5"/>
      <c r="L235" s="5"/>
      <c r="M235" s="5"/>
      <c r="N235" s="5"/>
      <c r="O235" s="5"/>
      <c r="P235" s="5"/>
      <c r="Q235" s="5"/>
      <c r="R235" s="5"/>
      <c r="S235" s="50">
        <f>SUM(S214,S218,S222,S226,S230)</f>
        <v>0</v>
      </c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1"/>
    </row>
    <row r="236">
      <c r="A236" s="86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2"/>
    </row>
    <row r="239">
      <c r="A239" s="120" t="s">
        <v>220</v>
      </c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59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</row>
    <row r="257">
      <c r="B257" s="121" t="s">
        <v>87</v>
      </c>
      <c r="C257" s="121"/>
      <c r="D257" s="122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123" t="s">
        <v>87</v>
      </c>
      <c r="U257" s="123"/>
      <c r="V257" s="124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>
      <c r="A258" s="5"/>
      <c r="D258" s="5">
        <f>AVERAGE(AC33:AI33,AC92:AI92,AC151:AI151,AC210:AI210)</f>
        <v>0</v>
      </c>
      <c r="J258" s="5"/>
      <c r="K258" s="5"/>
      <c r="L258" s="5"/>
      <c r="M258" s="5"/>
      <c r="N258" s="5"/>
      <c r="O258" s="5"/>
      <c r="P258" s="5"/>
      <c r="Q258" s="5"/>
      <c r="R258" s="5"/>
      <c r="S258" s="5"/>
      <c r="V258" s="125">
        <f>AVERAGE(AC41:AI41,AC100:AI100,AC159:AI159,AC218:AI218)</f>
        <v>0</v>
      </c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</row>
    <row r="259">
      <c r="A259" s="5"/>
      <c r="B259" s="5"/>
      <c r="C259" s="5"/>
      <c r="D259" s="5"/>
      <c r="E259" s="5"/>
      <c r="F259" s="5"/>
      <c r="G259" s="5"/>
      <c r="H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>
      <c r="A260" s="5"/>
      <c r="B260" s="126" t="s">
        <v>221</v>
      </c>
      <c r="C260" s="127"/>
      <c r="D260" s="127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128" t="s">
        <v>221</v>
      </c>
      <c r="U260" s="129"/>
      <c r="V260" s="129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</row>
    <row r="261">
      <c r="A261" s="5"/>
      <c r="D261" s="130">
        <f>MAX(AC33:AI33,AC92:AI92,AC151:AI151,AC210:AI210)-MIN(AC33:AI33,AC92:AI92,AC151:AI151,AC210:AI210)</f>
        <v>0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V261" s="130">
        <f>MAX(AC41:AI41,AC100:AI100,AC159:AI159,AC218:AI218)-MIN(AC41:AI41,AC100:AI100,AC159:AI159,AC218:AI218)</f>
        <v>0</v>
      </c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>
      <c r="A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131" t="s">
        <v>87</v>
      </c>
      <c r="U282" s="131"/>
      <c r="V282" s="132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>
      <c r="A283" s="5"/>
      <c r="B283" s="133" t="s">
        <v>87</v>
      </c>
      <c r="C283" s="133"/>
      <c r="D283" s="134"/>
      <c r="E283" s="5"/>
      <c r="F283" s="135" t="s">
        <v>87</v>
      </c>
      <c r="G283" s="135"/>
      <c r="H283" s="136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V283" s="125">
        <f>AVERAGE(AC35:AI35,AC94:AI94,AC153:AI153,AC212:AI212)</f>
        <v>0</v>
      </c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>
      <c r="A284" s="5"/>
      <c r="D284" s="5">
        <f>AVERAGE(AC37:AI37,AC96:AI96,AC155:AI155,AC214:AI214)</f>
        <v>0</v>
      </c>
      <c r="E284" s="5"/>
      <c r="H284" s="125">
        <f>AVERAGE(AC39:AI39,AC98:AI98,AC157:AI157,AC216:AI216)</f>
        <v>0</v>
      </c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137" t="s">
        <v>221</v>
      </c>
      <c r="U285" s="138"/>
      <c r="V285" s="138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>
      <c r="A286" s="5"/>
      <c r="B286" s="139" t="s">
        <v>221</v>
      </c>
      <c r="C286" s="140"/>
      <c r="D286" s="140"/>
      <c r="E286" s="5"/>
      <c r="F286" s="141" t="s">
        <v>221</v>
      </c>
      <c r="G286" s="142"/>
      <c r="H286" s="142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V286" s="130">
        <f>MAX(AC35:AI35,AC94:AI94,AC153:AI153,AC212:AI212)-MIN(AC35:AI35,AC94:AI94,AC153:AI153,AC212:AI212)</f>
        <v>0</v>
      </c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>
      <c r="A287" s="5"/>
      <c r="D287" s="130">
        <f>MAX(AC37:AI37,AC96:AI96,AC155:AI155,AC214:AI214)-MIN(AC37:AI37,AC96:AI96,AC155:AI155,AC214:AI214)</f>
        <v>0</v>
      </c>
      <c r="E287" s="5"/>
      <c r="H287" s="130">
        <f>MAX(AC39:AI39,AC98:AI98,AC157:AI157,AC216:AI216)-MIN(AC39:AI39,AC98:AI98,AC157:AI157,AC216:AI216)</f>
        <v>0</v>
      </c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</row>
    <row r="293"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15" t="s">
        <v>222</v>
      </c>
      <c r="T293" s="92"/>
      <c r="U293" s="92"/>
      <c r="V293" s="92"/>
      <c r="W293" s="92"/>
      <c r="X293" s="92"/>
      <c r="Y293" s="92"/>
      <c r="Z293" s="92"/>
      <c r="AA293" s="92"/>
      <c r="AB293" s="94"/>
      <c r="AC293" s="5"/>
      <c r="AD293" s="5"/>
      <c r="AE293" s="5"/>
      <c r="AF293" s="5"/>
      <c r="AG293" s="5"/>
      <c r="AH293" s="5"/>
      <c r="AI293" s="5"/>
      <c r="AJ293" s="5"/>
    </row>
    <row r="294"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2"/>
      <c r="T294" s="5"/>
      <c r="U294" s="5"/>
      <c r="V294" s="5"/>
      <c r="W294" s="5"/>
      <c r="X294" s="5"/>
      <c r="Y294" s="5"/>
      <c r="Z294" s="5"/>
      <c r="AA294" s="5"/>
      <c r="AB294" s="51"/>
      <c r="AC294" s="5"/>
      <c r="AD294" s="5"/>
      <c r="AE294" s="5"/>
      <c r="AF294" s="5"/>
      <c r="AG294" s="5"/>
      <c r="AH294" s="5"/>
      <c r="AI294" s="5"/>
    </row>
    <row r="295">
      <c r="S295" s="100"/>
      <c r="AB295" s="22"/>
    </row>
    <row r="296">
      <c r="S296" s="100"/>
      <c r="AB296" s="22"/>
    </row>
    <row r="297">
      <c r="S297" s="100"/>
      <c r="AB297" s="22"/>
    </row>
    <row r="298">
      <c r="S298" s="100"/>
      <c r="AB298" s="22"/>
    </row>
    <row r="299">
      <c r="S299" s="100"/>
      <c r="AB299" s="22"/>
    </row>
    <row r="300">
      <c r="S300" s="100"/>
      <c r="AB300" s="22"/>
    </row>
    <row r="301">
      <c r="S301" s="100"/>
      <c r="AB301" s="22"/>
    </row>
    <row r="302">
      <c r="S302" s="100"/>
      <c r="AB302" s="22"/>
    </row>
    <row r="303">
      <c r="S303" s="100"/>
      <c r="AB303" s="22"/>
    </row>
    <row r="304">
      <c r="S304" s="100"/>
      <c r="AB304" s="22"/>
    </row>
    <row r="305">
      <c r="S305" s="100"/>
      <c r="AB305" s="22"/>
    </row>
    <row r="306">
      <c r="S306" s="100"/>
      <c r="AB306" s="22"/>
    </row>
    <row r="307">
      <c r="S307" s="100"/>
      <c r="AB307" s="22"/>
    </row>
    <row r="308">
      <c r="S308" s="100"/>
      <c r="AB308" s="22"/>
    </row>
    <row r="309">
      <c r="S309" s="100"/>
      <c r="AB309" s="22"/>
    </row>
    <row r="310">
      <c r="S310" s="100"/>
      <c r="AB310" s="22"/>
    </row>
    <row r="311">
      <c r="S311" s="100"/>
      <c r="AB311" s="22"/>
    </row>
    <row r="312">
      <c r="S312" s="100"/>
      <c r="AB312" s="22"/>
    </row>
    <row r="313">
      <c r="S313" s="100"/>
      <c r="AB313" s="22"/>
    </row>
    <row r="314">
      <c r="S314" s="100"/>
      <c r="AB314" s="22"/>
    </row>
    <row r="315">
      <c r="S315" s="100"/>
      <c r="AB315" s="22"/>
    </row>
    <row r="316">
      <c r="S316" s="100"/>
      <c r="AB316" s="22"/>
    </row>
    <row r="317">
      <c r="S317" s="117"/>
      <c r="T317" s="118"/>
      <c r="U317" s="118"/>
      <c r="V317" s="118"/>
      <c r="W317" s="118"/>
      <c r="X317" s="118"/>
      <c r="Y317" s="118"/>
      <c r="Z317" s="118"/>
      <c r="AA317" s="118"/>
      <c r="AB317" s="116"/>
    </row>
    <row r="328">
      <c r="A328" s="143" t="s">
        <v>223</v>
      </c>
      <c r="B328" s="143" t="s">
        <v>224</v>
      </c>
      <c r="C328" s="143" t="s">
        <v>225</v>
      </c>
      <c r="D328" s="143" t="s">
        <v>226</v>
      </c>
      <c r="E328" s="143" t="s">
        <v>227</v>
      </c>
      <c r="F328" s="143" t="s">
        <v>228</v>
      </c>
      <c r="G328" s="144" t="s">
        <v>229</v>
      </c>
    </row>
    <row r="329">
      <c r="A329" s="145" t="s">
        <v>78</v>
      </c>
      <c r="B329" s="149">
        <f>A8</f>
        <v>0</v>
      </c>
      <c r="C329" s="149">
        <f>A12</f>
        <v>0</v>
      </c>
      <c r="D329" s="149">
        <f>A16</f>
        <v>0</v>
      </c>
      <c r="E329" s="149">
        <f>A20</f>
        <v>0</v>
      </c>
      <c r="F329" s="149">
        <f>A24</f>
        <v>0</v>
      </c>
      <c r="G329" s="150">
        <f t="shared" ref="G329:G356" si="1">SUM(B329:F329)</f>
        <v>0</v>
      </c>
    </row>
    <row r="330">
      <c r="A330" s="146" t="s">
        <v>79</v>
      </c>
      <c r="B330" s="151">
        <f>J8</f>
        <v>0</v>
      </c>
      <c r="C330" s="151">
        <f>J12</f>
        <v>0</v>
      </c>
      <c r="D330" s="151">
        <f>J16</f>
        <v>0</v>
      </c>
      <c r="E330" s="151">
        <f>J20</f>
        <v>0</v>
      </c>
      <c r="F330" s="151">
        <f>J24</f>
        <v>0</v>
      </c>
      <c r="G330" s="150">
        <f t="shared" si="1"/>
        <v>0</v>
      </c>
    </row>
    <row r="331">
      <c r="A331" s="146" t="s">
        <v>80</v>
      </c>
      <c r="B331" s="151">
        <f>S8</f>
        <v>0</v>
      </c>
      <c r="C331" s="151">
        <f>S12</f>
        <v>0</v>
      </c>
      <c r="D331" s="151">
        <f>S16</f>
        <v>0</v>
      </c>
      <c r="E331" s="151">
        <f>S20</f>
        <v>0</v>
      </c>
      <c r="F331" s="151">
        <f>S24</f>
        <v>0</v>
      </c>
      <c r="G331" s="150">
        <f t="shared" si="1"/>
        <v>0</v>
      </c>
    </row>
    <row r="332">
      <c r="A332" s="146" t="s">
        <v>81</v>
      </c>
      <c r="B332" s="151">
        <f>AB8</f>
        <v>0</v>
      </c>
      <c r="C332" s="151">
        <f>AB12</f>
        <v>0</v>
      </c>
      <c r="D332" s="151">
        <f>AB16</f>
        <v>0</v>
      </c>
      <c r="E332" s="151">
        <f>AB20</f>
        <v>0</v>
      </c>
      <c r="F332" s="151">
        <f>AB24</f>
        <v>0</v>
      </c>
      <c r="G332" s="150">
        <f t="shared" si="1"/>
        <v>0</v>
      </c>
    </row>
    <row r="333">
      <c r="A333" s="146" t="s">
        <v>82</v>
      </c>
      <c r="B333" s="151">
        <f>A37</f>
        <v>0</v>
      </c>
      <c r="C333" s="151">
        <f>A41</f>
        <v>0</v>
      </c>
      <c r="D333" s="151">
        <f>A45</f>
        <v>0</v>
      </c>
      <c r="E333" s="151">
        <f>A49</f>
        <v>0</v>
      </c>
      <c r="F333" s="151">
        <f>A53</f>
        <v>0</v>
      </c>
      <c r="G333" s="150">
        <f t="shared" si="1"/>
        <v>0</v>
      </c>
    </row>
    <row r="334">
      <c r="A334" s="146" t="s">
        <v>83</v>
      </c>
      <c r="B334" s="151">
        <f>J37</f>
        <v>0</v>
      </c>
      <c r="C334" s="151">
        <f>J41</f>
        <v>0</v>
      </c>
      <c r="D334" s="151">
        <f>J45</f>
        <v>0</v>
      </c>
      <c r="E334" s="151">
        <f>J49</f>
        <v>0</v>
      </c>
      <c r="F334" s="151">
        <f>J53</f>
        <v>0</v>
      </c>
      <c r="G334" s="150">
        <f t="shared" si="1"/>
        <v>0</v>
      </c>
    </row>
    <row r="335">
      <c r="A335" s="148" t="s">
        <v>84</v>
      </c>
      <c r="B335" s="152">
        <f>S37</f>
        <v>0</v>
      </c>
      <c r="C335" s="152">
        <f>S41</f>
        <v>0</v>
      </c>
      <c r="D335" s="152">
        <f>S45</f>
        <v>0</v>
      </c>
      <c r="E335" s="152">
        <f>S49</f>
        <v>0</v>
      </c>
      <c r="F335" s="152">
        <f>S53</f>
        <v>0</v>
      </c>
      <c r="G335" s="153">
        <f t="shared" si="1"/>
        <v>0</v>
      </c>
    </row>
    <row r="336">
      <c r="A336" s="146" t="s">
        <v>230</v>
      </c>
      <c r="B336" s="151">
        <f>A67</f>
        <v>0</v>
      </c>
      <c r="C336" s="151">
        <f>A71</f>
        <v>0</v>
      </c>
      <c r="D336" s="151">
        <f>A75</f>
        <v>0</v>
      </c>
      <c r="E336" s="151">
        <f>A79</f>
        <v>0</v>
      </c>
      <c r="F336" s="151">
        <f>A83</f>
        <v>0</v>
      </c>
      <c r="G336" s="150">
        <f t="shared" si="1"/>
        <v>0</v>
      </c>
    </row>
    <row r="337">
      <c r="A337" s="146" t="s">
        <v>231</v>
      </c>
      <c r="B337" s="151">
        <f>J67</f>
        <v>0</v>
      </c>
      <c r="C337" s="151">
        <f>J71</f>
        <v>0</v>
      </c>
      <c r="D337" s="151">
        <f>J75</f>
        <v>0</v>
      </c>
      <c r="E337" s="151">
        <f>J79</f>
        <v>0</v>
      </c>
      <c r="F337" s="151">
        <f>J83</f>
        <v>0</v>
      </c>
      <c r="G337" s="150">
        <f t="shared" si="1"/>
        <v>0</v>
      </c>
    </row>
    <row r="338">
      <c r="A338" s="146" t="s">
        <v>232</v>
      </c>
      <c r="B338" s="151">
        <f>S67</f>
        <v>0</v>
      </c>
      <c r="C338" s="151">
        <f>S71</f>
        <v>0</v>
      </c>
      <c r="D338" s="151">
        <f>S75</f>
        <v>0</v>
      </c>
      <c r="E338" s="151">
        <f>S79</f>
        <v>0</v>
      </c>
      <c r="F338" s="151">
        <f>S83</f>
        <v>0</v>
      </c>
      <c r="G338" s="150">
        <f t="shared" si="1"/>
        <v>0</v>
      </c>
    </row>
    <row r="339">
      <c r="A339" s="146" t="s">
        <v>233</v>
      </c>
      <c r="B339" s="151">
        <f>AB67</f>
        <v>0</v>
      </c>
      <c r="C339" s="151">
        <f>AB71</f>
        <v>0</v>
      </c>
      <c r="D339" s="151">
        <f>AB75</f>
        <v>0</v>
      </c>
      <c r="E339" s="151">
        <f>AB79</f>
        <v>0</v>
      </c>
      <c r="F339" s="151">
        <f>AB83</f>
        <v>0</v>
      </c>
      <c r="G339" s="150">
        <f t="shared" si="1"/>
        <v>0</v>
      </c>
    </row>
    <row r="340">
      <c r="A340" s="146" t="s">
        <v>234</v>
      </c>
      <c r="B340" s="151">
        <f>A96</f>
        <v>0</v>
      </c>
      <c r="C340" s="151">
        <f>A100</f>
        <v>0</v>
      </c>
      <c r="D340" s="151">
        <f>A104</f>
        <v>0</v>
      </c>
      <c r="E340" s="151">
        <f>A108</f>
        <v>0</v>
      </c>
      <c r="F340" s="151">
        <f>A112</f>
        <v>0</v>
      </c>
      <c r="G340" s="150">
        <f t="shared" si="1"/>
        <v>0</v>
      </c>
    </row>
    <row r="341">
      <c r="A341" s="146" t="s">
        <v>235</v>
      </c>
      <c r="B341" s="151">
        <f>J96</f>
        <v>0</v>
      </c>
      <c r="C341" s="151">
        <f>J100</f>
        <v>0</v>
      </c>
      <c r="D341" s="151">
        <f>J104</f>
        <v>0</v>
      </c>
      <c r="E341" s="151">
        <f>J108</f>
        <v>0</v>
      </c>
      <c r="F341" s="151">
        <f>J112</f>
        <v>0</v>
      </c>
      <c r="G341" s="150">
        <f t="shared" si="1"/>
        <v>0</v>
      </c>
    </row>
    <row r="342">
      <c r="A342" s="148" t="s">
        <v>236</v>
      </c>
      <c r="B342" s="152">
        <f>S96</f>
        <v>0</v>
      </c>
      <c r="C342" s="152">
        <f>S100</f>
        <v>0</v>
      </c>
      <c r="D342" s="152">
        <f>S104</f>
        <v>0</v>
      </c>
      <c r="E342" s="152">
        <f>S108</f>
        <v>0</v>
      </c>
      <c r="F342" s="152">
        <f>S112</f>
        <v>0</v>
      </c>
      <c r="G342" s="153">
        <f t="shared" si="1"/>
        <v>0</v>
      </c>
    </row>
    <row r="343">
      <c r="A343" s="146" t="s">
        <v>237</v>
      </c>
      <c r="B343" s="151">
        <f>A126</f>
        <v>0</v>
      </c>
      <c r="C343" s="151">
        <f>A130</f>
        <v>0</v>
      </c>
      <c r="D343" s="151">
        <f>A134</f>
        <v>0</v>
      </c>
      <c r="E343" s="151">
        <f>A138</f>
        <v>0</v>
      </c>
      <c r="F343" s="151">
        <f>A142</f>
        <v>0</v>
      </c>
      <c r="G343" s="150">
        <f t="shared" si="1"/>
        <v>0</v>
      </c>
    </row>
    <row r="344">
      <c r="A344" s="146" t="s">
        <v>238</v>
      </c>
      <c r="B344" s="151">
        <f>J126</f>
        <v>0</v>
      </c>
      <c r="C344" s="151">
        <f>J130</f>
        <v>0</v>
      </c>
      <c r="D344" s="151">
        <f>J134</f>
        <v>0</v>
      </c>
      <c r="E344" s="151">
        <f>J138</f>
        <v>0</v>
      </c>
      <c r="F344" s="151">
        <f>J142</f>
        <v>0</v>
      </c>
      <c r="G344" s="150">
        <f t="shared" si="1"/>
        <v>0</v>
      </c>
    </row>
    <row r="345">
      <c r="A345" s="146" t="s">
        <v>239</v>
      </c>
      <c r="B345" s="151">
        <f>S126</f>
        <v>0</v>
      </c>
      <c r="C345" s="151">
        <f>S130</f>
        <v>0</v>
      </c>
      <c r="D345" s="151">
        <f>S134</f>
        <v>0</v>
      </c>
      <c r="E345" s="151">
        <f>S138</f>
        <v>0</v>
      </c>
      <c r="F345" s="151">
        <f>S142</f>
        <v>0</v>
      </c>
      <c r="G345" s="150">
        <f t="shared" si="1"/>
        <v>0</v>
      </c>
    </row>
    <row r="346">
      <c r="A346" s="146" t="s">
        <v>240</v>
      </c>
      <c r="B346" s="151">
        <f>AB126</f>
        <v>0</v>
      </c>
      <c r="C346" s="151">
        <f>AB130</f>
        <v>0</v>
      </c>
      <c r="D346" s="151">
        <f>AB134</f>
        <v>0</v>
      </c>
      <c r="E346" s="151">
        <f>AB138</f>
        <v>0</v>
      </c>
      <c r="F346" s="151">
        <f>AB142</f>
        <v>0</v>
      </c>
      <c r="G346" s="150">
        <f t="shared" si="1"/>
        <v>0</v>
      </c>
    </row>
    <row r="347">
      <c r="A347" s="146" t="s">
        <v>241</v>
      </c>
      <c r="B347" s="151">
        <f>A155</f>
        <v>0</v>
      </c>
      <c r="C347" s="151">
        <f>A159</f>
        <v>0</v>
      </c>
      <c r="D347" s="151">
        <f>A163</f>
        <v>0</v>
      </c>
      <c r="E347" s="151">
        <f>A167</f>
        <v>0</v>
      </c>
      <c r="F347" s="151">
        <f>A171</f>
        <v>0</v>
      </c>
      <c r="G347" s="150">
        <f t="shared" si="1"/>
        <v>0</v>
      </c>
    </row>
    <row r="348">
      <c r="A348" s="146" t="s">
        <v>242</v>
      </c>
      <c r="B348" s="151">
        <f>J155</f>
        <v>0</v>
      </c>
      <c r="C348" s="151">
        <f>J159</f>
        <v>0</v>
      </c>
      <c r="D348" s="151">
        <f>J163</f>
        <v>0</v>
      </c>
      <c r="E348" s="151">
        <f>J167</f>
        <v>0</v>
      </c>
      <c r="F348" s="151">
        <f>J171</f>
        <v>0</v>
      </c>
      <c r="G348" s="150">
        <f t="shared" si="1"/>
        <v>0</v>
      </c>
    </row>
    <row r="349">
      <c r="A349" s="148" t="s">
        <v>243</v>
      </c>
      <c r="B349" s="152">
        <f>S155</f>
        <v>0</v>
      </c>
      <c r="C349" s="152">
        <f>S159</f>
        <v>0</v>
      </c>
      <c r="D349" s="152">
        <f>S163</f>
        <v>0</v>
      </c>
      <c r="E349" s="152">
        <f>S167</f>
        <v>0</v>
      </c>
      <c r="F349" s="152">
        <f>S171</f>
        <v>0</v>
      </c>
      <c r="G349" s="153">
        <f t="shared" si="1"/>
        <v>0</v>
      </c>
    </row>
    <row r="350">
      <c r="A350" s="146" t="s">
        <v>244</v>
      </c>
      <c r="B350" s="151">
        <f>A185</f>
        <v>0</v>
      </c>
      <c r="C350" s="151">
        <f>A189</f>
        <v>0</v>
      </c>
      <c r="D350" s="151">
        <f>A193</f>
        <v>0</v>
      </c>
      <c r="E350" s="151">
        <f>A197</f>
        <v>0</v>
      </c>
      <c r="F350" s="151">
        <f>A201</f>
        <v>0</v>
      </c>
      <c r="G350" s="150">
        <f t="shared" si="1"/>
        <v>0</v>
      </c>
    </row>
    <row r="351">
      <c r="A351" s="146" t="s">
        <v>245</v>
      </c>
      <c r="B351" s="151">
        <f>J185</f>
        <v>0</v>
      </c>
      <c r="C351" s="151">
        <f>J189</f>
        <v>0</v>
      </c>
      <c r="D351" s="151">
        <f>J193</f>
        <v>0</v>
      </c>
      <c r="E351" s="151">
        <f>J197</f>
        <v>0</v>
      </c>
      <c r="F351" s="151">
        <f>J201</f>
        <v>0</v>
      </c>
      <c r="G351" s="150">
        <f t="shared" si="1"/>
        <v>0</v>
      </c>
    </row>
    <row r="352">
      <c r="A352" s="146" t="s">
        <v>246</v>
      </c>
      <c r="B352" s="151">
        <f>S185</f>
        <v>0</v>
      </c>
      <c r="C352" s="151">
        <f>S189</f>
        <v>0</v>
      </c>
      <c r="D352" s="151">
        <f>S193</f>
        <v>0</v>
      </c>
      <c r="E352" s="151">
        <f>S197</f>
        <v>0</v>
      </c>
      <c r="F352" s="151">
        <f>S201</f>
        <v>0</v>
      </c>
      <c r="G352" s="150">
        <f t="shared" si="1"/>
        <v>0</v>
      </c>
    </row>
    <row r="353">
      <c r="A353" s="146" t="s">
        <v>247</v>
      </c>
      <c r="B353" s="151">
        <f>AB185</f>
        <v>0</v>
      </c>
      <c r="C353" s="151">
        <f>AB189</f>
        <v>0</v>
      </c>
      <c r="D353" s="151">
        <f>AB193</f>
        <v>0</v>
      </c>
      <c r="E353" s="151">
        <f>AB197</f>
        <v>0</v>
      </c>
      <c r="F353" s="151">
        <f>AB201</f>
        <v>0</v>
      </c>
      <c r="G353" s="150">
        <f t="shared" si="1"/>
        <v>0</v>
      </c>
    </row>
    <row r="354">
      <c r="A354" s="146" t="s">
        <v>248</v>
      </c>
      <c r="B354" s="151">
        <f>A214</f>
        <v>0</v>
      </c>
      <c r="C354" s="151">
        <f>A218</f>
        <v>0</v>
      </c>
      <c r="D354" s="151">
        <f>A222</f>
        <v>0</v>
      </c>
      <c r="E354" s="151">
        <f>A226</f>
        <v>0</v>
      </c>
      <c r="F354" s="151">
        <f>A230</f>
        <v>0</v>
      </c>
      <c r="G354" s="150">
        <f t="shared" si="1"/>
        <v>0</v>
      </c>
    </row>
    <row r="355">
      <c r="A355" s="146" t="s">
        <v>249</v>
      </c>
      <c r="B355" s="151">
        <f>J214</f>
        <v>0</v>
      </c>
      <c r="C355" s="151">
        <f>J218</f>
        <v>0</v>
      </c>
      <c r="D355" s="151">
        <f>J222</f>
        <v>0</v>
      </c>
      <c r="E355" s="151">
        <f>J226</f>
        <v>0</v>
      </c>
      <c r="F355" s="151">
        <f>J230</f>
        <v>0</v>
      </c>
      <c r="G355" s="150">
        <f t="shared" si="1"/>
        <v>0</v>
      </c>
    </row>
    <row r="356">
      <c r="A356" s="148" t="s">
        <v>250</v>
      </c>
      <c r="B356" s="152">
        <f>S214</f>
        <v>0</v>
      </c>
      <c r="C356" s="152">
        <f>S218</f>
        <v>0</v>
      </c>
      <c r="D356" s="152">
        <f>S222</f>
        <v>0</v>
      </c>
      <c r="E356" s="152">
        <f>S226</f>
        <v>0</v>
      </c>
      <c r="F356" s="152">
        <f>S230</f>
        <v>0</v>
      </c>
      <c r="G356" s="153">
        <f t="shared" si="1"/>
        <v>0</v>
      </c>
    </row>
    <row r="357">
      <c r="A357" s="81" t="s">
        <v>251</v>
      </c>
      <c r="B357" s="147">
        <f t="shared" ref="B357:F357" si="2">SUM(B329:B356)</f>
        <v>0</v>
      </c>
      <c r="C357" s="147">
        <f t="shared" si="2"/>
        <v>0</v>
      </c>
      <c r="D357" s="147">
        <f t="shared" si="2"/>
        <v>0</v>
      </c>
      <c r="E357" s="147">
        <f t="shared" si="2"/>
        <v>0</v>
      </c>
      <c r="F357" s="147">
        <f t="shared" si="2"/>
        <v>0</v>
      </c>
    </row>
  </sheetData>
  <mergeCells count="42">
    <mergeCell ref="AC34:AD34"/>
    <mergeCell ref="AF34:AG34"/>
    <mergeCell ref="AC36:AD36"/>
    <mergeCell ref="AF36:AG36"/>
    <mergeCell ref="AC38:AD38"/>
    <mergeCell ref="AF38:AG38"/>
    <mergeCell ref="AF40:AG40"/>
    <mergeCell ref="AC40:AD40"/>
    <mergeCell ref="AC42:AD42"/>
    <mergeCell ref="AF42:AG42"/>
    <mergeCell ref="AC93:AD93"/>
    <mergeCell ref="AF93:AG93"/>
    <mergeCell ref="AC95:AD95"/>
    <mergeCell ref="AF95:AG95"/>
    <mergeCell ref="AC97:AD97"/>
    <mergeCell ref="AF97:AG97"/>
    <mergeCell ref="AC99:AD99"/>
    <mergeCell ref="AF99:AG99"/>
    <mergeCell ref="AC101:AD101"/>
    <mergeCell ref="AF101:AG101"/>
    <mergeCell ref="AF152:AG152"/>
    <mergeCell ref="AC160:AD160"/>
    <mergeCell ref="AF160:AG160"/>
    <mergeCell ref="A178:AI178"/>
    <mergeCell ref="AC152:AD152"/>
    <mergeCell ref="AC154:AD154"/>
    <mergeCell ref="AF154:AG154"/>
    <mergeCell ref="AC156:AD156"/>
    <mergeCell ref="AF156:AG156"/>
    <mergeCell ref="AC158:AD158"/>
    <mergeCell ref="AF158:AG158"/>
    <mergeCell ref="AC217:AD217"/>
    <mergeCell ref="AC219:AD219"/>
    <mergeCell ref="AF219:AG219"/>
    <mergeCell ref="A239:AI239"/>
    <mergeCell ref="AC211:AD211"/>
    <mergeCell ref="AF211:AG211"/>
    <mergeCell ref="AC213:AD213"/>
    <mergeCell ref="AF213:AG213"/>
    <mergeCell ref="AC215:AD215"/>
    <mergeCell ref="AF215:AG215"/>
    <mergeCell ref="AF217:AG217"/>
  </mergeCells>
  <conditionalFormatting sqref="C5:H28 L5:Q28 U5:Z28 AD5:AI28 C34:H57 L34:Q57 U34:Z57 C64:H87 L64:Q87 U64:Z87 AD64:AI87 C93:H116 L93:Q116 U93:Z116 C123:H146 L123:Q146 U123:Z146 AD123:AI146 C152:H175 L152:Q175 U152:Z175 C182:H205 L182:Q205 U182:Z205 AD182:AI205 C211:H234 L211:Q234 U211:Z234">
    <cfRule type="containsBlanks" dxfId="0" priority="1">
      <formula>LEN(TRIM(C5))=0</formula>
    </cfRule>
  </conditionalFormatting>
  <conditionalFormatting sqref="C5:H28 L5:Q28 U5:Z28 AD5:AI28 C34:H57 L34:Q57 U34:Z57 C64:H87 L64:Q87 U64:Z87 AD64:AI87 C93:H116 L93:Q116 U93:Z116 C123:H146 L123:Q146 U123:Z146 AD123:AI146 C152:H175 L152:Q175 U152:Z175 C182:H205 L182:Q205 U182:Z205 AD182:AI205 C211:H234 L211:Q234 U211:Z234">
    <cfRule type="cellIs" dxfId="1" priority="2" operator="equal">
      <formula>1</formula>
    </cfRule>
  </conditionalFormatting>
  <conditionalFormatting sqref="C5:H28 L5:Q28 U5:Z28 AD5:AI28 C34:H57 L34:Q57 U34:Z57 C64:H87 L64:Q87 U64:Z87 AD64:AI87 C93:H116 L93:Q116 U93:Z116 C123:H146 L123:Q146 U123:Z146 AD123:AI146 C152:H175 L152:Q175 U152:Z175 C182:H205 L182:Q205 U182:Z205 AD182:AI205 C211:H234 L211:Q234 U211:Z234">
    <cfRule type="cellIs" dxfId="2" priority="3" operator="equal">
      <formula>2</formula>
    </cfRule>
  </conditionalFormatting>
  <conditionalFormatting sqref="C5:H28 L5:Q28 U5:Z28 AD5:AI28 C34:H57 L34:Q57 U34:Z57 C64:H87 L64:Q87 U64:Z87 AD64:AI87 C93:H116 L93:Q116 U93:Z116 C123:H146 L123:Q146 U123:Z146 AD123:AI146 C152:H175 L152:Q175 U152:Z175 C182:H205 L182:Q205 U182:Z205 AD182:AI205 C211:H234 L211:Q234 U211:Z234">
    <cfRule type="cellIs" dxfId="3" priority="4" operator="equal">
      <formula>3</formula>
    </cfRule>
  </conditionalFormatting>
  <conditionalFormatting sqref="C5:H28 L5:Q28 U5:Z28 AD5:AI28 C34:H57 L34:Q57 U34:Z57 C64:H87 L64:Q87 U64:Z87 AD64:AI87 C93:H116 L93:Q116 U93:Z116 C123:H146 L123:Q146 U123:Z146 AD123:AI146 C152:H175 L152:Q175 U152:Z175 C182:H205 L182:Q205 U182:Z205 AD182:AI205 C211:H234 L211:Q234 U211:Z234">
    <cfRule type="cellIs" dxfId="4" priority="5" operator="equal">
      <formula>4</formula>
    </cfRule>
  </conditionalFormatting>
  <conditionalFormatting sqref="C5:H28 L5:Q28 U5:Z28 AD5:AI28 C34:H57 L34:Q57 U34:Z57 C64:H87 L64:Q87 U64:Z87 AD64:AI87 C93:H116 L93:Q116 U93:Z116 C123:H146 L123:Q146 U123:Z146 AD123:AI146 C152:H175 L152:Q175 U152:Z175 C182:H205 L182:Q205 U182:Z205 AD182:AI205 C211:H234 L211:Q234 U211:Z234">
    <cfRule type="cellIs" dxfId="5" priority="6" operator="notBetween">
      <formula>1</formula>
      <formula>5</formula>
    </cfRule>
  </conditionalFormatting>
  <conditionalFormatting sqref="X5 AG5 F34 O34 X34 F64 O64 X64 AG64 F93 O93 X93 F123 O123 X123 AG123 F152 O152 X152 F182 O182 X182 AG182 F211 O211 X211">
    <cfRule type="cellIs" dxfId="6" priority="7" operator="notBetween">
      <formula>1</formula>
      <formula>5</formula>
    </cfRule>
  </conditionalFormatting>
  <conditionalFormatting sqref="A29 J29 S29 AB29 A58 J58 S58 A88 J88 S88 AB88 S117 J117 A117 A147 J147 S147 AB147 A176 J176 S176 A206 J206 S206 AB206 A235 J235 S235">
    <cfRule type="cellIs" dxfId="7" priority="8" operator="equal">
      <formula>24</formula>
    </cfRule>
  </conditionalFormatting>
  <conditionalFormatting sqref="A29 J29 S29 AB29 A58 J58 S58 A88 J88 S88 AB88 S117 J117 A117 A147 J147 S147 AB147 A176 J176 S176 A206 J206 S206 AB206 A235 J235 S235">
    <cfRule type="cellIs" dxfId="8" priority="9" operator="lessThan">
      <formula>24</formula>
    </cfRule>
  </conditionalFormatting>
  <conditionalFormatting sqref="A29 J29 S29 AB29 A58 J58 S58 A88 J88 S88 AB88 S117 J117 A117 A147 J147 S147 AB147 A176 J176 S176 A206 J206 S206 AB206 A235 J235 S235">
    <cfRule type="cellIs" dxfId="5" priority="10" operator="greaterThan">
      <formula>24</formula>
    </cfRule>
  </conditionalFormatting>
  <conditionalFormatting sqref="D3:H3 M3:Q3 V3:Z3 AE3:AI3 C5:H8 L5:Q28 U5:X7 Y5:Z16 U9:W18 X9:X16 X18:Z18 D32:H32 M32:Q32 V32:Z32 D62:H62 M62:Q62 V62:Z62 AE62:AI62 D91:H91 M91:Q91 V91:Z91 D121:H121 M121:Q121 V121:Z121 AE121:AI121 D150:H150 M150:Q150 V150:Z150">
    <cfRule type="cellIs" dxfId="9" priority="11" operator="equal">
      <formula>1</formula>
    </cfRule>
  </conditionalFormatting>
  <conditionalFormatting sqref="D3:H3 M3:Q3 V3:Z3 AE3:AI3 C5:H8 L5:Q28 U5:X7 Y5:Z16 U9:W18 X9:X16 X18:Z18 D32:H32 M32:Q32 V32:Z32 D62:H62 M62:Q62 V62:Z62 AE62:AI62 D91:H91 M91:Q91 V91:Z91 D121:H121 M121:Q121 V121:Z121 AE121:AI121 D150:H150 M150:Q150 V150:Z150">
    <cfRule type="cellIs" dxfId="10" priority="12" operator="equal">
      <formula>2</formula>
    </cfRule>
  </conditionalFormatting>
  <conditionalFormatting sqref="D3:H3 M3:Q3 V3:Z3 AE3:AI3 C5:H8 L5:Q28 U5:X7 Y5:Z16 U9:W18 X9:X16 X18:Z18 D32:H32 M32:Q32 V32:Z32 D62:H62 M62:Q62 V62:Z62 AE62:AI62 D91:H91 M91:Q91 V91:Z91 D121:H121 M121:Q121 V121:Z121 AE121:AI121 D150:H150 M150:Q150 V150:Z150">
    <cfRule type="cellIs" dxfId="11" priority="13" operator="equal">
      <formula>3</formula>
    </cfRule>
  </conditionalFormatting>
  <conditionalFormatting sqref="D3:H3 M3:Q3 V3:Z3 AE3:AI3 C5:H8 L5:Q28 U5:X7 Y5:Z16 U9:W18 X9:X16 X18:Z18 D32:H32 M32:Q32 V32:Z32 D62:H62 M62:Q62 V62:Z62 AE62:AI62 D91:H91 M91:Q91 V91:Z91 D121:H121 M121:Q121 V121:Z121 AE121:AI121 D150:H150 M150:Q150 V150:Z150">
    <cfRule type="cellIs" dxfId="12" priority="14" operator="equal">
      <formula>4</formula>
    </cfRule>
  </conditionalFormatting>
  <conditionalFormatting sqref="D3:H3 M3:Q3 V3:Z3 AE3:AI3 C5:H8 L5:Q28 U5:X7 Y5:Z16 U9:W18 X9:X16 X18:Z18 D32:H32 M32:Q32 V32:Z32 D62:H62 M62:Q62 V62:Z62 AE62:AI62 D91:H91 M91:Q91 V91:Z91 D121:H121 M121:Q121 V121:Z121 AE121:AI121 D150:H150 M150:Q150 V150:Z150">
    <cfRule type="cellIs" dxfId="13" priority="15" operator="equal">
      <formula>5</formula>
    </cfRule>
  </conditionalFormatting>
  <conditionalFormatting sqref="D3:H3 M3:Q3 V3:Z3 AE3:AI3 C5:H8 L5:Q28 U5:X7 Y5:Z16 U9:W18 X9:X16 X18:Z18 D32:H32 M32:Q32 V32:Z32 D62:H62 M62:Q62 V62:Z62 AE62:AI62 D91:H91 M91:Q91 V91:Z91 D121:H121 M121:Q121 V121:Z121 AE121:AI121 D150:H150 M150:Q150 V150:Z150">
    <cfRule type="containsBlanks" dxfId="14" priority="16">
      <formula>LEN(TRIM(D3))=0</formula>
    </cfRule>
  </conditionalFormatting>
  <drawing r:id="rId1"/>
</worksheet>
</file>